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filterPrivacy="1" hidePivotFieldList="1"/>
  <xr:revisionPtr revIDLastSave="0" documentId="8_{6D6C11D7-4F0E-464E-BAE5-A453E6ADF664}" xr6:coauthVersionLast="47" xr6:coauthVersionMax="47" xr10:uidLastSave="{00000000-0000-0000-0000-000000000000}"/>
  <bookViews>
    <workbookView xWindow="0" yWindow="0" windowWidth="22260" windowHeight="12645" firstSheet="4" activeTab="4" xr2:uid="{00000000-000D-0000-FFFF-FFFF00000000}"/>
  </bookViews>
  <sheets>
    <sheet name="Assets" sheetId="4" state="hidden" r:id="rId1"/>
    <sheet name="Bases" sheetId="1" state="hidden" r:id="rId2"/>
    <sheet name="Cálculos" sheetId="3" state="hidden" r:id="rId3"/>
    <sheet name="Detalhes1" sheetId="5" state="hidden" r:id="rId4"/>
    <sheet name="Dashboard" sheetId="2" r:id="rId5"/>
  </sheets>
  <definedNames>
    <definedName name="SegmentaçãodeDados_months1">#N/A</definedName>
  </definedNames>
  <calcPr calcId="191028"/>
  <pivotCaches>
    <pivotCache cacheId="406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9" i="2" l="1"/>
  <c r="D6" i="2" s="1"/>
  <c r="BI24" i="2"/>
</calcChain>
</file>

<file path=xl/sharedStrings.xml><?xml version="1.0" encoding="utf-8"?>
<sst xmlns="http://schemas.openxmlformats.org/spreadsheetml/2006/main" count="2277" uniqueCount="582">
  <si>
    <t>Paleta de cores</t>
  </si>
  <si>
    <t>ff9204</t>
  </si>
  <si>
    <t>Logos</t>
  </si>
  <si>
    <t>order_no</t>
  </si>
  <si>
    <t>order_date</t>
  </si>
  <si>
    <t xml:space="preserve">months </t>
  </si>
  <si>
    <t>buyer</t>
  </si>
  <si>
    <t>ship_city</t>
  </si>
  <si>
    <t>ship_state</t>
  </si>
  <si>
    <t>sku</t>
  </si>
  <si>
    <t>description</t>
  </si>
  <si>
    <t>quantity</t>
  </si>
  <si>
    <t>item_total</t>
  </si>
  <si>
    <t>shipping_fee</t>
  </si>
  <si>
    <t>cod</t>
  </si>
  <si>
    <t>order_status</t>
  </si>
  <si>
    <t>405-9763961-5211537</t>
  </si>
  <si>
    <t xml:space="preserve">July </t>
  </si>
  <si>
    <t>Mr,</t>
  </si>
  <si>
    <t>CHANDIGARH</t>
  </si>
  <si>
    <t>SKU:  2X-3C0F-KNJE</t>
  </si>
  <si>
    <t>100% Leather Elephant Shaped Piggy Coin Bank | Block Printed West Bengal Handicrafts (Shantiniketan Art) | Money Bank for Kids | Children's Gift Ideas</t>
  </si>
  <si>
    <t>1</t>
  </si>
  <si>
    <t/>
  </si>
  <si>
    <t>Delivered to buyer</t>
  </si>
  <si>
    <t>404-3964908-7850720</t>
  </si>
  <si>
    <t xml:space="preserve">October </t>
  </si>
  <si>
    <t>Minam</t>
  </si>
  <si>
    <t>PASIGHAT</t>
  </si>
  <si>
    <t>ARUNACHAL PRADESH</t>
  </si>
  <si>
    <t>SKU:  DN-0WDX-VYOT</t>
  </si>
  <si>
    <t>Women's Set of 5 Multicolor Pure Leather Single Lipstick Cases with Mirror Handy and Compact Handcrafted Shantiniketan Block Printed Jewelry Boxes</t>
  </si>
  <si>
    <t>171-8103182-4289117</t>
  </si>
  <si>
    <t xml:space="preserve">November </t>
  </si>
  <si>
    <t>yatipertin</t>
  </si>
  <si>
    <t>405-3171677-9557154</t>
  </si>
  <si>
    <t>aciya</t>
  </si>
  <si>
    <t>DEVARAKONDA</t>
  </si>
  <si>
    <t>TELANGANA</t>
  </si>
  <si>
    <t>SKU:  AH-J3AO-R7DN</t>
  </si>
  <si>
    <t>Pure 100% Leather Block Print Rectangular Jewelry Box with Mirror | Button Closure Multiple Utility Case (Shantiniketan Handicrafts) (Yellow)</t>
  </si>
  <si>
    <t>Cash On Delivery</t>
  </si>
  <si>
    <t>402-8910771-1215552</t>
  </si>
  <si>
    <t xml:space="preserve">September </t>
  </si>
  <si>
    <t>Susmita</t>
  </si>
  <si>
    <t>MUMBAI</t>
  </si>
  <si>
    <t>MAHARASHTRA</t>
  </si>
  <si>
    <t>SKU:  KL-7WAA-Z82I</t>
  </si>
  <si>
    <t>Pure Leather Sling Bag with Multiple Pockets and Adjustable Strap | Shantiniketan Block Print Cross-Body Bags for Women (1 pc) (Brown)</t>
  </si>
  <si>
    <t>406-9292208-6725123</t>
  </si>
  <si>
    <t xml:space="preserve">June </t>
  </si>
  <si>
    <t>Subinita</t>
  </si>
  <si>
    <t>HOWRAH</t>
  </si>
  <si>
    <t>WEST BENGAL</t>
  </si>
  <si>
    <t>SKU:  HH-FOWV-5YWO</t>
  </si>
  <si>
    <t>Women's Trendy Pure Leather Clutch Purse | Leather Zipper Wallet</t>
  </si>
  <si>
    <t>404-5794317-7737924</t>
  </si>
  <si>
    <t xml:space="preserve">August </t>
  </si>
  <si>
    <t>shailendra</t>
  </si>
  <si>
    <t>ORAI</t>
  </si>
  <si>
    <t>UTTAR PRADESH</t>
  </si>
  <si>
    <t>SKU:  TQ-OE6K-9DIK</t>
  </si>
  <si>
    <t>Ultra Slim 100% Pure Leather Men's Wallet with Cash Card and Coin Compartments | Jet Black Gent's Money Organizer with Cover (1 pc)</t>
  </si>
  <si>
    <t>Returned to seller</t>
  </si>
  <si>
    <t>405-8702211-4054722</t>
  </si>
  <si>
    <t>Pratima</t>
  </si>
  <si>
    <t>BAREILLY</t>
  </si>
  <si>
    <t>SKU:  S1-A92Q-JU3X</t>
  </si>
  <si>
    <t>100% Pure Leather Shantiniketan Clutch Purse: Traditional Block Print Bi-color Women's Wallets with Multiple Pockets and Zipper Compartments (1 pc) (G</t>
  </si>
  <si>
    <t>171-1434812-8061163</t>
  </si>
  <si>
    <t>Ipshita</t>
  </si>
  <si>
    <t>BENGALURU</t>
  </si>
  <si>
    <t>KARNATAKA</t>
  </si>
  <si>
    <t>SKU:  3F-4R9N-Z8NJ</t>
  </si>
  <si>
    <t>Set of 2 Pure Leather Block Print Round Jewelry Boxes | Button Closure Multiple Utility Case (Shantiniketan Handicrafts) (Yellow)</t>
  </si>
  <si>
    <t>171-7954707-4463549</t>
  </si>
  <si>
    <t>A,Jayaprada</t>
  </si>
  <si>
    <t>Bhilai</t>
  </si>
  <si>
    <t>CHHATTISGARH</t>
  </si>
  <si>
    <t>SKU:  NU-CKZ5-4O49</t>
  </si>
  <si>
    <t>Pure Leather Sling Bag with Multiple Pockets and Adjustable Strap | Shantiniketan Block Print Cross-Body Bags for Women (1 pc) (Yellow)</t>
  </si>
  <si>
    <t>403-3146183-4920328</t>
  </si>
  <si>
    <t>Sumeet</t>
  </si>
  <si>
    <t>FARIDABAD</t>
  </si>
  <si>
    <t>HARYANA</t>
  </si>
  <si>
    <t>404-4406917-9569950</t>
  </si>
  <si>
    <t>Rolipar</t>
  </si>
  <si>
    <t>AGARTALA</t>
  </si>
  <si>
    <t>TRIPURA</t>
  </si>
  <si>
    <t>402-5321389-8685152</t>
  </si>
  <si>
    <t>Blessan</t>
  </si>
  <si>
    <t>COONOOR</t>
  </si>
  <si>
    <t>TAMIL NADU</t>
  </si>
  <si>
    <t>SKU:  94-TSV3-EIW6</t>
  </si>
  <si>
    <t>Bright and Colorful Shantiniketan Leather Elephant Piggy Coin Bank for Kids/Adults | Light-Weight Handcrafted Elephant Shaped Money Bank (Green Large</t>
  </si>
  <si>
    <t>403-4385783-1379508</t>
  </si>
  <si>
    <t>Aditi</t>
  </si>
  <si>
    <t>PUNE</t>
  </si>
  <si>
    <t>SKU:  FL-4CMG-CU48</t>
  </si>
  <si>
    <t>Pure Leather Sling Bag with Multiple Pockets and Adjustable Strap | Shantiniketan Block Print Cross-Body Bags for Women (1 pc) (Black)</t>
  </si>
  <si>
    <t>408-9557300-6760347</t>
  </si>
  <si>
    <t>Satish</t>
  </si>
  <si>
    <t>MANTHA</t>
  </si>
  <si>
    <t>SKU:  YJ-5CCT-M3PP</t>
  </si>
  <si>
    <t>Pure Leather Camel Color Gent's Wallet with Coin Compartment and Card Holders | Men's Ultra Slim Money Organiser (1 pc)</t>
  </si>
  <si>
    <t>402-4179660-9937142</t>
  </si>
  <si>
    <t>K</t>
  </si>
  <si>
    <t>KOLKATA</t>
  </si>
  <si>
    <t>405-6918787-5602743</t>
  </si>
  <si>
    <t>Mosin</t>
  </si>
  <si>
    <t>MAHALINGPUR</t>
  </si>
  <si>
    <t>406-1403658-9371527</t>
  </si>
  <si>
    <t>shilpin</t>
  </si>
  <si>
    <t>SKU:  PG-WS6J-89DG</t>
  </si>
  <si>
    <t>Bright and Colorful Shantiniketan Leather Elephant Piggy Coin Bank for Kids/Adults | Light-Weight Handcrafted Elephant Shaped Money Bank (Blue Large)</t>
  </si>
  <si>
    <t>407-2082022-4357107</t>
  </si>
  <si>
    <t>prithi</t>
  </si>
  <si>
    <t>HYDERABAD</t>
  </si>
  <si>
    <t>SKU:  O9-OVS7-G9XK</t>
  </si>
  <si>
    <t>Set of 2 Pure Leather Block Print Round Jewelry Boxes | Button Closure Multiple Utility Case (Shantiniketan Handicrafts) (Black)</t>
  </si>
  <si>
    <t>402-8678022-3083562</t>
  </si>
  <si>
    <t>Heena</t>
  </si>
  <si>
    <t>402-1146202-1933154</t>
  </si>
  <si>
    <t>Hemal</t>
  </si>
  <si>
    <t>MUMBAI 400 026</t>
  </si>
  <si>
    <t>SKU:  AY-Z7BT-BMVM</t>
  </si>
  <si>
    <t>Women's Pure Leather Jhallar Clutch Purse with Zipper Compartments | Floral Block Print Ladies Wallet (Red 1 pc)</t>
  </si>
  <si>
    <t>402-6406639-0884351</t>
  </si>
  <si>
    <t>Neha</t>
  </si>
  <si>
    <t>CUTTACK</t>
  </si>
  <si>
    <t>ODISHA</t>
  </si>
  <si>
    <t>171-6105173-4790734</t>
  </si>
  <si>
    <t>Geetika</t>
  </si>
  <si>
    <t>GURUGRAM</t>
  </si>
  <si>
    <t>406-9975868-3000368</t>
  </si>
  <si>
    <t>Hema</t>
  </si>
  <si>
    <t>403-7876698-8356365</t>
  </si>
  <si>
    <t>Yash</t>
  </si>
  <si>
    <t>SKU:  3O-GBSM-TYZE</t>
  </si>
  <si>
    <t>100% Leather Ganesh Ji Piggy Coin Bank | Block Printed West Bengal Handicrafts (Shantiniketan Art) | Money Bank for Kids | Children's Gift Ideas (Red</t>
  </si>
  <si>
    <t>402-2054361-4513137</t>
  </si>
  <si>
    <t>Ramesh</t>
  </si>
  <si>
    <t>JALESWAR</t>
  </si>
  <si>
    <t>405-0695973-7365161</t>
  </si>
  <si>
    <t>Sailaja</t>
  </si>
  <si>
    <t>VISAKHAPATNAM</t>
  </si>
  <si>
    <t>ANDHRA PRADESH</t>
  </si>
  <si>
    <t>404-9680499-3084319</t>
  </si>
  <si>
    <t>Manisha</t>
  </si>
  <si>
    <t>PUNEpune</t>
  </si>
  <si>
    <t>406-3518585-4093925</t>
  </si>
  <si>
    <t>m</t>
  </si>
  <si>
    <t>NEW DELHI</t>
  </si>
  <si>
    <t>DELHI</t>
  </si>
  <si>
    <t>SKU:  0M-RFE6-443C</t>
  </si>
  <si>
    <t>Set of 2 Pure Leather Block Print Round Jewelry Boxes | Button Closure Multiple Utility Case (Shantiniketan Handicrafts) (Green)</t>
  </si>
  <si>
    <t>404-6883107-8347508</t>
  </si>
  <si>
    <t>chirag</t>
  </si>
  <si>
    <t>RAIA</t>
  </si>
  <si>
    <t>GOA</t>
  </si>
  <si>
    <t>404-8244254-9274747</t>
  </si>
  <si>
    <t>Subhendu</t>
  </si>
  <si>
    <t>Bhubaneswar</t>
  </si>
  <si>
    <t>Odisha</t>
  </si>
  <si>
    <t>407-2330390-9441923</t>
  </si>
  <si>
    <t>Harsimranjit</t>
  </si>
  <si>
    <t>JAGDALPUR</t>
  </si>
  <si>
    <t>SKU:  TY-4GPW-U54J</t>
  </si>
  <si>
    <t>Set of 2 Pure Leather Block Print Round Jewelry Boxes | Button Closure Multiple Utility Case (Shantiniketan Handicrafts) (Red)</t>
  </si>
  <si>
    <t>407-0864859-8033111</t>
  </si>
  <si>
    <t>Deepshikha</t>
  </si>
  <si>
    <t>402-0249599-9225933</t>
  </si>
  <si>
    <t>Elizabeth</t>
  </si>
  <si>
    <t>403-0713090-0169940</t>
  </si>
  <si>
    <t>sayani</t>
  </si>
  <si>
    <t>SKU:  9S-GE8P-RIR4</t>
  </si>
  <si>
    <t>Pure 100% Leather Block Print Rectangular Jewelry Box with Mirror | Button Closure Multiple Utility Case (Shantiniketan Handicrafts) (Brown)</t>
  </si>
  <si>
    <t>403-7215480-9090745</t>
  </si>
  <si>
    <t>Madan</t>
  </si>
  <si>
    <t>403-7217325-7956317</t>
  </si>
  <si>
    <t>maha</t>
  </si>
  <si>
    <t>SALEM</t>
  </si>
  <si>
    <t>405-8876256-0913907</t>
  </si>
  <si>
    <t>Shreyasi</t>
  </si>
  <si>
    <t>SKU:  CR-6E69-UXFW</t>
  </si>
  <si>
    <t>Bright and Colorful Shantiniketan Leather Elephant Piggy Coin Bank for Kids/Adults | Light-Weight Handcrafted Elephant Shaped Money Bank (Black Large</t>
  </si>
  <si>
    <t>407-0539421-4069143</t>
  </si>
  <si>
    <t>Parmeet</t>
  </si>
  <si>
    <t>JAMMU</t>
  </si>
  <si>
    <t>JAMMU &amp; KASHMIR</t>
  </si>
  <si>
    <t>404-8031085-1381943</t>
  </si>
  <si>
    <t>Kangana</t>
  </si>
  <si>
    <t>SKU:  54-D265-B74K</t>
  </si>
  <si>
    <t>Set of 2 Pure Leather Block Print Round Jewelry Boxes | Button Closure Multiple Utility Case (Shantiniketan Handicrafts) (Brown)</t>
  </si>
  <si>
    <t>4</t>
  </si>
  <si>
    <t>407-6856738-1928342</t>
  </si>
  <si>
    <t>Nina</t>
  </si>
  <si>
    <t>SKU:  D4-UD68-TMXH</t>
  </si>
  <si>
    <t>Set of 3 Multiple Utility Leather Boxes | Bright Polka Dot Jewelry Cases in Different Size (Shantiniketan Handcrafted Gifts) (Yellow)</t>
  </si>
  <si>
    <t>405-4776641-5401922</t>
  </si>
  <si>
    <t>Rathish</t>
  </si>
  <si>
    <t>AHMEDABAD</t>
  </si>
  <si>
    <t>GUJARAT</t>
  </si>
  <si>
    <t>407-7181943-1725128</t>
  </si>
  <si>
    <t>Rohan</t>
  </si>
  <si>
    <t>405-8481932-1229966</t>
  </si>
  <si>
    <t>Amala</t>
  </si>
  <si>
    <t>404-9914447-5578722</t>
  </si>
  <si>
    <t>Dipali</t>
  </si>
  <si>
    <t>Mumbai</t>
  </si>
  <si>
    <t>404-6735919-2773947</t>
  </si>
  <si>
    <t>swagata13051978</t>
  </si>
  <si>
    <t>SILCHAR</t>
  </si>
  <si>
    <t>ASSAM</t>
  </si>
  <si>
    <t>407-1526604-7803547</t>
  </si>
  <si>
    <t>Jolly</t>
  </si>
  <si>
    <t>GUWAHATI</t>
  </si>
  <si>
    <t>405-1981073-5970737</t>
  </si>
  <si>
    <t>Jitu</t>
  </si>
  <si>
    <t>SKU:  I1-AWVT-2QOL</t>
  </si>
  <si>
    <t>Women's Pure Leather Jhallar Clutch Purse with Zipper Compartments | Polka Dot Block Print Ladies Wallet (Brown 1 pc)</t>
  </si>
  <si>
    <t>171-5705929-2195543</t>
  </si>
  <si>
    <t>John</t>
  </si>
  <si>
    <t>Ernakulam</t>
  </si>
  <si>
    <t>KERALA</t>
  </si>
  <si>
    <t>405-1111150-1834754</t>
  </si>
  <si>
    <t>Jai</t>
  </si>
  <si>
    <t>403-1631300-1893901</t>
  </si>
  <si>
    <t>saravanan</t>
  </si>
  <si>
    <t>KARAIKKUDI</t>
  </si>
  <si>
    <t>SKU:  WR-ANCX-U28C</t>
  </si>
  <si>
    <t>Bright and Colorful Shantiniketan Leather Elephant Piggy Coin Bank for Kids/Adults | Light-Weight Handcrafted Elephant Shaped Money Bank (Orange Larg</t>
  </si>
  <si>
    <t>402-5621007-4266725</t>
  </si>
  <si>
    <t>Tarek</t>
  </si>
  <si>
    <t>SKU:  W4-JQ2J-ZUF2</t>
  </si>
  <si>
    <t>100% Pure Leather Shantiniketan Clutch Purse: Traditional Block Print Bi-color Women's Wallets with Multiple Pockets and Zipper Compartments (1 pc) (O</t>
  </si>
  <si>
    <t>404-7918321-6528342</t>
  </si>
  <si>
    <t>narendra</t>
  </si>
  <si>
    <t>KODAD</t>
  </si>
  <si>
    <t>SKU:  5B-NW9K-L3AO</t>
  </si>
  <si>
    <t>Pure Leather Elephant Shaped Piggy Coin Bank | Money Bank for Kids | Gift Ideas (Red S)</t>
  </si>
  <si>
    <t>406-5723826-0192341</t>
  </si>
  <si>
    <t>Sailee</t>
  </si>
  <si>
    <t>406-5208445-6151521</t>
  </si>
  <si>
    <t>Saravana</t>
  </si>
  <si>
    <t>SKU:  86-JXO3-EJ7K</t>
  </si>
  <si>
    <t>Bright and Colorful Handmade Shantiniketan Leather Ganesh Ji Piggy Coin Bank for Kids/Adults | Home Décor Handicrafts (Green)</t>
  </si>
  <si>
    <t>404-5515061-6165137</t>
  </si>
  <si>
    <t>Arpita</t>
  </si>
  <si>
    <t>406-4504814-5756357</t>
  </si>
  <si>
    <t>Shamal</t>
  </si>
  <si>
    <t>BADLAPUR</t>
  </si>
  <si>
    <t>Pure Leather Ganesh Piggy Bank | Money Bank for Kids (Red M)</t>
  </si>
  <si>
    <t>403-7364233-8411519</t>
  </si>
  <si>
    <t>Salima</t>
  </si>
  <si>
    <t>402-0413922-0000337</t>
  </si>
  <si>
    <t>Hemant</t>
  </si>
  <si>
    <t>Surat</t>
  </si>
  <si>
    <t>SKU:  SB-WDQN-SDN9</t>
  </si>
  <si>
    <t>Traditional Block-Printed Women's 100% Pure Leather Shoulder Bag: Double Handle Red Handbag | Multi-pocket Shantiniketan Leather Bag for Women</t>
  </si>
  <si>
    <t>171-1070115-6195560</t>
  </si>
  <si>
    <t>soumya</t>
  </si>
  <si>
    <t>THANE</t>
  </si>
  <si>
    <t>407-5532335-4314768</t>
  </si>
  <si>
    <t>Pavithra</t>
  </si>
  <si>
    <t>POLLACHI</t>
  </si>
  <si>
    <t>SKU:  QV-PHXY-LGY8</t>
  </si>
  <si>
    <t>Pure Leather Ganesh Piggy Bank | Money Bank for Kids (Black M)</t>
  </si>
  <si>
    <t>402-6806027-8773139</t>
  </si>
  <si>
    <t>Rana</t>
  </si>
  <si>
    <t>Pune</t>
  </si>
  <si>
    <t>Maharashtra</t>
  </si>
  <si>
    <t>407-5896934-9005133</t>
  </si>
  <si>
    <t>Sumita</t>
  </si>
  <si>
    <t>SKU:  H6-A9OJ-C0Q1</t>
  </si>
  <si>
    <t>100% Pure Leather Shantiniketan Clutch Purse: Traditional Block Print Bi-color Women's Wallets with Multiple Pockets and Zipper Compartments (1 pc) (R</t>
  </si>
  <si>
    <t>403-3892336-2999521</t>
  </si>
  <si>
    <t>Ajay</t>
  </si>
  <si>
    <t>RAIPUR</t>
  </si>
  <si>
    <t>406-9458224-2717157</t>
  </si>
  <si>
    <t>Pooja</t>
  </si>
  <si>
    <t>408-4317100-7692318</t>
  </si>
  <si>
    <t>Priyanka</t>
  </si>
  <si>
    <t>402-6701060-6592325</t>
  </si>
  <si>
    <t>SKU:  1T-RAUZ-UZKO</t>
  </si>
  <si>
    <t>Women's Pure Leather Jhallar Clutch Purse with Zipper Compartments | Floral Block Print Ladies Wallet (Green 1 pc)</t>
  </si>
  <si>
    <t>405-0978927-9443544</t>
  </si>
  <si>
    <t>A</t>
  </si>
  <si>
    <t>JALANDHAR</t>
  </si>
  <si>
    <t>PUNJAB</t>
  </si>
  <si>
    <t>407-4805322-7498725</t>
  </si>
  <si>
    <t>Velmurugan</t>
  </si>
  <si>
    <t>THISAYANVILAI</t>
  </si>
  <si>
    <t>Pure Leather Elephant Shaped Piggy Coin Bank | Money Bank for Kids | Gift Ideas (Black L)</t>
  </si>
  <si>
    <t>406-6432664-4853932</t>
  </si>
  <si>
    <t>Nilan1a</t>
  </si>
  <si>
    <t>BIDHAN NAGAR</t>
  </si>
  <si>
    <t>407-8790284-0125124</t>
  </si>
  <si>
    <t>402-4834476-0320360</t>
  </si>
  <si>
    <t>Abhishek</t>
  </si>
  <si>
    <t>SKU:  UR-WJJ0-I3TN</t>
  </si>
  <si>
    <t>Pure 100% Leather Block Print Rectangular Jewelry Box with Mirror | Button Closure Multiple Utility Case (Shantiniketan Handicrafts) (Red)</t>
  </si>
  <si>
    <t>171-2479820-8391565</t>
  </si>
  <si>
    <t>Rajat</t>
  </si>
  <si>
    <t>New Delhi</t>
  </si>
  <si>
    <t>SKU:  RG-29TH-MROF</t>
  </si>
  <si>
    <t>Bright and Colorful Handmade Shantiniketan Leather Ganesh Ji Piggy Coin Bank for Kids/Adults | Home Décor Handicrafts (Blue)</t>
  </si>
  <si>
    <t>408-0358198-6688308</t>
  </si>
  <si>
    <t>S,</t>
  </si>
  <si>
    <t>Tuticorin</t>
  </si>
  <si>
    <t>SKU:  GP-RMI4-GJ6L</t>
  </si>
  <si>
    <t>Bright &amp; Colorful Shantiniketan Leather Piggy Bank for Kids/Adults | Light-Weight Handcrafted Owl Shaped Coin Bank (Green)</t>
  </si>
  <si>
    <t>171-2095880-5548309</t>
  </si>
  <si>
    <t>Kusum</t>
  </si>
  <si>
    <t>JAIPUR</t>
  </si>
  <si>
    <t>RAJASTHAN</t>
  </si>
  <si>
    <t>403-3087278-4501963</t>
  </si>
  <si>
    <t>Vinithra</t>
  </si>
  <si>
    <t>CHENNAI</t>
  </si>
  <si>
    <t>SKU:  U1-8YOK-510E</t>
  </si>
  <si>
    <t>100% Leather Cat Shaped Piggy Coin Bank | Block Printed West Bengal Handicrafts (Shantiniketan Art) | Money Bank for Kids | Children's Gift Ideas (Blu</t>
  </si>
  <si>
    <t>406-6774677-4553965</t>
  </si>
  <si>
    <t>402-6614720-2475547</t>
  </si>
  <si>
    <t>An1a</t>
  </si>
  <si>
    <t>PALAI</t>
  </si>
  <si>
    <t>405-4735668-0393136</t>
  </si>
  <si>
    <t>Noopur</t>
  </si>
  <si>
    <t>KORBA</t>
  </si>
  <si>
    <t>408-7282076-9330761</t>
  </si>
  <si>
    <t>Deepak</t>
  </si>
  <si>
    <t>SKU:  D9-CVL3-8JF6</t>
  </si>
  <si>
    <t>Bright and Colorful Handmade Shantiniketan Leather Ganesh Ji Piggy Coin Bank for Kids/Adults | Home Décor Handicrafts (Black)</t>
  </si>
  <si>
    <t>403-9782961-0644358</t>
  </si>
  <si>
    <t>Madhavi</t>
  </si>
  <si>
    <t>402-3054284-1226754</t>
  </si>
  <si>
    <t>Sayantani</t>
  </si>
  <si>
    <t>SKU:  G4-B5GQ-8V30</t>
  </si>
  <si>
    <t>100% Pure Leather Shantiniketan Clutch Purse: Traditional Block Print Bi-color Women's Wallets with Multiple Pockets and Zipper Compartments (1 pc) (B</t>
  </si>
  <si>
    <t>403-4722970-7103536</t>
  </si>
  <si>
    <t>407-8029342-1162714</t>
  </si>
  <si>
    <t>Sharad</t>
  </si>
  <si>
    <t>SKU:  NV-1DWM-41VX</t>
  </si>
  <si>
    <t>Bright &amp; Colorful Shantiniketan Leather Piggy Bank for Kids/Adults | Light-Weight Handcrafted Owl Shaped Coin Bank (Red)</t>
  </si>
  <si>
    <t>406-9976360-8935534</t>
  </si>
  <si>
    <t>406-0702616-4123501</t>
  </si>
  <si>
    <t>Mahalakshmi</t>
  </si>
  <si>
    <t>SKU:  9W-AS6W-6O9X</t>
  </si>
  <si>
    <t>Pure 100% Leather Block Print Rectangular Jewelry Box with Mirror | Button Closure Multiple Utility Case (Shantiniketan Handicrafts) (Blue)</t>
  </si>
  <si>
    <t>408-6770537-3774707</t>
  </si>
  <si>
    <t>Paromita</t>
  </si>
  <si>
    <t>2</t>
  </si>
  <si>
    <t>403-4274611-4049927</t>
  </si>
  <si>
    <t>SAHARANPUR</t>
  </si>
  <si>
    <t>407-7598159-3965161</t>
  </si>
  <si>
    <t>chandni</t>
  </si>
  <si>
    <t>THAMARASSERY</t>
  </si>
  <si>
    <t>403-0124463-2966723</t>
  </si>
  <si>
    <t>Thanigaivel</t>
  </si>
  <si>
    <t>SKU:  QD-RNE2-2FH8</t>
  </si>
  <si>
    <t>Colourful and Bright Peacock Shaped Piggy Coin Bank | Block Printed West Bengal's 100% Leather Handicrafts (Shantiniketan Art) | Money Bank for Kids |</t>
  </si>
  <si>
    <t>403-5745034-5441137</t>
  </si>
  <si>
    <t>parul</t>
  </si>
  <si>
    <t>SKU:  3V-FKXN-C4QJ</t>
  </si>
  <si>
    <t>Handcrafted Women's Traditional Block Printed Handbag: 100% Pure Leather Shantiniketan Shoulder Bag | Multi Pocket with Highly Durable Leather Handles</t>
  </si>
  <si>
    <t>404-1364960-1146735</t>
  </si>
  <si>
    <t>swati</t>
  </si>
  <si>
    <t>171-5917046-2682765</t>
  </si>
  <si>
    <t>Anku</t>
  </si>
  <si>
    <t>408-9069501-2731541</t>
  </si>
  <si>
    <t>shweta</t>
  </si>
  <si>
    <t>403-3308024-9965128</t>
  </si>
  <si>
    <t>405-7861224-4380325</t>
  </si>
  <si>
    <t>Gaurang</t>
  </si>
  <si>
    <t>406-9977841-6948310</t>
  </si>
  <si>
    <t>Pramod</t>
  </si>
  <si>
    <t>GAUTAM BUDDHA NAGAR</t>
  </si>
  <si>
    <t>171-6267238-3345112</t>
  </si>
  <si>
    <t>3</t>
  </si>
  <si>
    <t>405-3304794-2671568</t>
  </si>
  <si>
    <t>Shobhit</t>
  </si>
  <si>
    <t>404-3621013-4015566</t>
  </si>
  <si>
    <t>roohi</t>
  </si>
  <si>
    <t>407-9473791-2643568</t>
  </si>
  <si>
    <t xml:space="preserve">February </t>
  </si>
  <si>
    <t>chandrima</t>
  </si>
  <si>
    <t>KATWA</t>
  </si>
  <si>
    <t>SKU:  P1-LF2X-L3ZC</t>
  </si>
  <si>
    <t>Colourful and Bright Peacock Shaped Piggy Coin Bank | Block Printed West Bengal's 100% Leather Handicrafts (Shantiniketan Art) | Money Bank for Kids | Children's Gift Ideas (1 pc) (Red)</t>
  </si>
  <si>
    <t>171-5463316-4433940</t>
  </si>
  <si>
    <t xml:space="preserve">January </t>
  </si>
  <si>
    <t>Vadim</t>
  </si>
  <si>
    <t>406-8570816-2548324</t>
  </si>
  <si>
    <t>pallavi</t>
  </si>
  <si>
    <t>Set of 2 Pure 100% Leather Block Print Rectangular Jewelry Box with Mirror | Button Closure Multiple Utility Case (Shantiniketan Handicrafts)</t>
  </si>
  <si>
    <t>171-1925470-1621156</t>
  </si>
  <si>
    <t>Deepali</t>
  </si>
  <si>
    <t>JODHPUR</t>
  </si>
  <si>
    <t>404-9528809-9494717</t>
  </si>
  <si>
    <t>December</t>
  </si>
  <si>
    <t>Dr,</t>
  </si>
  <si>
    <t>MALDA</t>
  </si>
  <si>
    <t>404-3361026-0027538</t>
  </si>
  <si>
    <t>Sayanti</t>
  </si>
  <si>
    <t>NOIDA</t>
  </si>
  <si>
    <t>SKU:  7K-6YIU-KO0R</t>
  </si>
  <si>
    <t>Women's Pure Leather Jhallar Clutch Purse with Zipper Compartments | Polka Dot Block Print Ladies Wallet (Dark Green 1 pc)</t>
  </si>
  <si>
    <t>408-1794879-4342714</t>
  </si>
  <si>
    <t>Apoorva</t>
  </si>
  <si>
    <t>403-2108547-9065907</t>
  </si>
  <si>
    <t>RishuGarg</t>
  </si>
  <si>
    <t>Set of 3 Pure Leather Block Print Round Jewelry Boxes | Button Closure Multiple Utility Case (Shantiniketan Handicrafts) (Brown)</t>
  </si>
  <si>
    <t>405-0789055-6741110</t>
  </si>
  <si>
    <t>Harshini</t>
  </si>
  <si>
    <t>SECUNDERABAD</t>
  </si>
  <si>
    <t>100% Pure Leather Shantiniketan Clutch Purse: Traditional Block Print Bi-color Women's Wallets with Multiple Pockets and Zipper Compartments (1 pc) (Orange)</t>
  </si>
  <si>
    <t>171-4664401-7903525</t>
  </si>
  <si>
    <t>Madhuparna</t>
  </si>
  <si>
    <t>Kolkata</t>
  </si>
  <si>
    <t>SKU:  NT-6I2C-2TWX</t>
  </si>
  <si>
    <t>Handcrafted Women's Handbag: 100% Pure Shantiniketan Leather Polka Dotted Shoulder Bag | Multi Pocket with Highly Durable Leather Handles (Black)</t>
  </si>
  <si>
    <t>406-1051099-3807565</t>
  </si>
  <si>
    <t>Shakti</t>
  </si>
  <si>
    <t>408-9435263-6891514</t>
  </si>
  <si>
    <t>Sharmila</t>
  </si>
  <si>
    <t>405-0868310-6684357</t>
  </si>
  <si>
    <t>Monali</t>
  </si>
  <si>
    <t>SIWAN</t>
  </si>
  <si>
    <t>BIHAR</t>
  </si>
  <si>
    <t>SKU:  X2-PMD5-PL2D</t>
  </si>
  <si>
    <t>Bright and Colorful Handmade Shantiniketan Leather Ganesh Ji Piggy Coin Bank for Kids/Adults | Home Décor Handicrafts (Yellow)</t>
  </si>
  <si>
    <t>407-2925312-1225952</t>
  </si>
  <si>
    <t>anjali</t>
  </si>
  <si>
    <t>405-0209265-6273962</t>
  </si>
  <si>
    <t>Gargi</t>
  </si>
  <si>
    <t>SKU:  V6-KQJX-XGP2</t>
  </si>
  <si>
    <t>Women's Pure Leather Jhallar Clutch Purse with Zipper Compartments | Motif Block Print Ladies Wallet (Blue 1 pc)</t>
  </si>
  <si>
    <t>403-0102354-2668323</t>
  </si>
  <si>
    <t>Jeevan</t>
  </si>
  <si>
    <t>407-3924859-8788324</t>
  </si>
  <si>
    <t>kritika</t>
  </si>
  <si>
    <t>NAVI MUMBAI</t>
  </si>
  <si>
    <t>402-6563725-6606725</t>
  </si>
  <si>
    <t>Mitra</t>
  </si>
  <si>
    <t>408-3173592-1224340</t>
  </si>
  <si>
    <t>406-6970801-9059504</t>
  </si>
  <si>
    <t>Rebecca</t>
  </si>
  <si>
    <t>Bardez</t>
  </si>
  <si>
    <t>407-7313002-2067527</t>
  </si>
  <si>
    <t>pavithra</t>
  </si>
  <si>
    <t>chennai</t>
  </si>
  <si>
    <t>SKU:  4H-Y62P-R483</t>
  </si>
  <si>
    <t>Stylish and Sleek Multiple Pockets 100% Leather Shoulder Bag | Contemporary Indian Leather Handicrafts for Women (Black)</t>
  </si>
  <si>
    <t>402-9977250-1302757</t>
  </si>
  <si>
    <t>404-7450458-9882702</t>
  </si>
  <si>
    <t>Thane District</t>
  </si>
  <si>
    <t>SKU:  4V-I7XD-JQVR</t>
  </si>
  <si>
    <t>Bright and Colorful Shantiniketan Leather Elephant Piggy Coin Bank for Kids/Adults | Light-Weight Handcrafted Elephant Shaped Money Bank (Black Small</t>
  </si>
  <si>
    <t>402-4007700-9289906</t>
  </si>
  <si>
    <t>Valli</t>
  </si>
  <si>
    <t>SKU:  8V-OQ14-I63T</t>
  </si>
  <si>
    <t>Bright and Colorful Shantiniketan Leather Elephant Piggy Coin Bank for Kids/Adults | Light-Weight Handcrafted Elephant Shaped Money Bank (Yellow Larg</t>
  </si>
  <si>
    <t>408-9442756-9477100</t>
  </si>
  <si>
    <t>amit</t>
  </si>
  <si>
    <t>INDORE</t>
  </si>
  <si>
    <t>MADHYA Pradesh</t>
  </si>
  <si>
    <t>403-7552858-2817166</t>
  </si>
  <si>
    <t>Anastasiia</t>
  </si>
  <si>
    <t>Visakhapatnam</t>
  </si>
  <si>
    <t>404-9326436-3517161</t>
  </si>
  <si>
    <t>Santhosh</t>
  </si>
  <si>
    <t>405-8264291-1183552</t>
  </si>
  <si>
    <t>403-9089686-7304307</t>
  </si>
  <si>
    <t>J</t>
  </si>
  <si>
    <t>SKU:  ST-27BR-VEMQ</t>
  </si>
  <si>
    <t>Stunning Women's Finished Leather Handbag | Sleek and Elegant Party Bag with Glamorous Steel Rings and Multiple Pockets (Pink)</t>
  </si>
  <si>
    <t>403-3882329-3552343</t>
  </si>
  <si>
    <t>Set of 3 Pure Leather Block Print Round Jewelry Boxes | Button Closure Multiple Utility Case (Shantiniketan Handicrafts) (Yellow)</t>
  </si>
  <si>
    <t>407-4026447-7131527</t>
  </si>
  <si>
    <t>171-5230421-3237921</t>
  </si>
  <si>
    <t>403-2445664-7853913</t>
  </si>
  <si>
    <t>vvijayakakshmi</t>
  </si>
  <si>
    <t>407-8892478-3863557</t>
  </si>
  <si>
    <t>Tapan</t>
  </si>
  <si>
    <t>GHAZIABAD</t>
  </si>
  <si>
    <t>SKU:  NN-AGEZ-5DUM</t>
  </si>
  <si>
    <t>171-3919731-3769907</t>
  </si>
  <si>
    <t>171-3733329-6916359</t>
  </si>
  <si>
    <t>Shahin</t>
  </si>
  <si>
    <t>171-7361479-0297146</t>
  </si>
  <si>
    <t>Amol</t>
  </si>
  <si>
    <t>408-9200041-8517139</t>
  </si>
  <si>
    <t>ROHIT</t>
  </si>
  <si>
    <t>408-3276798-6731502</t>
  </si>
  <si>
    <t>Kumar</t>
  </si>
  <si>
    <t>405-7588425-0136360</t>
  </si>
  <si>
    <t>406-6034782-6293117</t>
  </si>
  <si>
    <t>NANDINI</t>
  </si>
  <si>
    <t>403-1376026-4537157</t>
  </si>
  <si>
    <t>ONGC</t>
  </si>
  <si>
    <t>VADODARA</t>
  </si>
  <si>
    <t>Bright and Colorful Shantiniketan Leather Elephant Piggy Coin Bank for Kids/Adults | Light-Weight Handcrafted Elephant Shaped Money Bank (Red Small)</t>
  </si>
  <si>
    <t>402-3108828-3083537</t>
  </si>
  <si>
    <t>RAJAT</t>
  </si>
  <si>
    <t>MOHALI</t>
  </si>
  <si>
    <t>171-5110229-2797921</t>
  </si>
  <si>
    <t>ria</t>
  </si>
  <si>
    <t>171-1659664-7877932</t>
  </si>
  <si>
    <t>Saba</t>
  </si>
  <si>
    <t>AMROHA</t>
  </si>
  <si>
    <t>404-5325305-3342738</t>
  </si>
  <si>
    <t>Poonam</t>
  </si>
  <si>
    <t>408-4117801-6732368</t>
  </si>
  <si>
    <t>VAISHALI</t>
  </si>
  <si>
    <t>LUCKNOW</t>
  </si>
  <si>
    <t>405-0409316-6263510</t>
  </si>
  <si>
    <t>Faruk</t>
  </si>
  <si>
    <t>BURDWAN</t>
  </si>
  <si>
    <t>407-0369001-6370762</t>
  </si>
  <si>
    <t>402-1369108-5988348</t>
  </si>
  <si>
    <t>Mariatta</t>
  </si>
  <si>
    <t>Kodambakkam Chennai</t>
  </si>
  <si>
    <t>405-7352232-5348320</t>
  </si>
  <si>
    <t>DIVYA</t>
  </si>
  <si>
    <t>171-8930811-8770760</t>
  </si>
  <si>
    <t>Shishir</t>
  </si>
  <si>
    <t>ALLAHABAD</t>
  </si>
  <si>
    <t>404-5892855-1521926</t>
  </si>
  <si>
    <t>veena</t>
  </si>
  <si>
    <t>SKU:  V6-VUWR-856W</t>
  </si>
  <si>
    <t>Bright &amp; Colorful Shantiniketan Leather Piggy Bank for Kids/Adults | Light-Weight Handcrafted Owl Shaped Coin Bank (Black)</t>
  </si>
  <si>
    <t>403-0543607-1044310</t>
  </si>
  <si>
    <t>Gita</t>
  </si>
  <si>
    <t>171-4338001-7654754</t>
  </si>
  <si>
    <t>srisoma</t>
  </si>
  <si>
    <t>408-5721047-6522728</t>
  </si>
  <si>
    <t>Ashna</t>
  </si>
  <si>
    <t>402-5940762-2914747</t>
  </si>
  <si>
    <t>Swathi</t>
  </si>
  <si>
    <t>Set of 3 Pure Leather Block Print Round Jewelry Boxes | Button Closure Multiple Utility Case (Shantiniketan Handicrafts) (Green)</t>
  </si>
  <si>
    <t>407-6814126-3628337</t>
  </si>
  <si>
    <t>Aarti</t>
  </si>
  <si>
    <t>BILIMORA</t>
  </si>
  <si>
    <t>171-3007462-1281169</t>
  </si>
  <si>
    <t>Captain</t>
  </si>
  <si>
    <t>SKU:  78-ZYA1-UMZH</t>
  </si>
  <si>
    <t>Bright and Colorful Horse Shaped Piggy Coin Bank | Block Printed West Bengal's 100% Leather Handicrafts (Shantiniketan Art) | Money Bank for Kids | Ch</t>
  </si>
  <si>
    <t>403-8215280-0912306</t>
  </si>
  <si>
    <t>402-2278272-1998728</t>
  </si>
  <si>
    <t>Dalreen</t>
  </si>
  <si>
    <t>405-3911719-8266724</t>
  </si>
  <si>
    <t>ANIL</t>
  </si>
  <si>
    <t>KANPUR</t>
  </si>
  <si>
    <t>406-5755913-6641938</t>
  </si>
  <si>
    <t>Shikha</t>
  </si>
  <si>
    <t>171-7565385-5722750</t>
  </si>
  <si>
    <t>402-8044719-8889119</t>
  </si>
  <si>
    <t>Andhra Pradesh</t>
  </si>
  <si>
    <t>402-1808225-2809140</t>
  </si>
  <si>
    <t>User</t>
  </si>
  <si>
    <t>Solan</t>
  </si>
  <si>
    <t>Himachal Pradesh</t>
  </si>
  <si>
    <t>171-2829978-1258758</t>
  </si>
  <si>
    <t>402-3045457-5360311</t>
  </si>
  <si>
    <t>Sharmistha</t>
  </si>
  <si>
    <t>DEHRADUN</t>
  </si>
  <si>
    <t>UTTARAKHAND</t>
  </si>
  <si>
    <t>408-2260162-8323567</t>
  </si>
  <si>
    <t>shashank</t>
  </si>
  <si>
    <t>Durg</t>
  </si>
  <si>
    <t>403-5664951-8941100</t>
  </si>
  <si>
    <t>Jayeta</t>
  </si>
  <si>
    <t>SKU:  N8-YFZF-P74I</t>
  </si>
  <si>
    <t>Stylish and Sleek Multiple Pockets 100 Percent Leather Shoulder Bag Contemporary Indian Leather Handicrafts for Women (Yellow) (BL335)</t>
  </si>
  <si>
    <t>402-4845680-8041921</t>
  </si>
  <si>
    <t>Varun</t>
  </si>
  <si>
    <t>Pergunta 2 - valor total mensal</t>
  </si>
  <si>
    <t>Pergunta 5 - quantidade de reembolsos anual</t>
  </si>
  <si>
    <t>Soma de item_total</t>
  </si>
  <si>
    <t>Total Geral</t>
  </si>
  <si>
    <t>Detalhes do Soma de item_total - months : December</t>
  </si>
  <si>
    <t xml:space="preserve">BL  a small leather Amazon Seller </t>
  </si>
  <si>
    <t>Contagem de 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</si>
</sst>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scheme val="minor"/>
    </font>
    <font>
      <b/>
      <sz val="24"/>
      <color theme="1"/>
      <name val="Calibri"/>
      <family val="2"/>
      <scheme val="minor"/>
    </font>
    <font>
      <b/>
      <sz val="15"/>
      <color theme="3"/>
      <name val="Segoe UI"/>
    </font>
    <font>
      <b/>
      <sz val="15"/>
      <color theme="1"/>
      <name val="Segoe UI"/>
    </font>
    <font>
      <sz val="11"/>
      <color rgb="FFFF9204"/>
      <name val="Calibri"/>
      <family val="2"/>
      <scheme val="minor"/>
    </font>
    <font>
      <sz val="20"/>
      <color rgb="FFFF9204"/>
      <name val="Calibri"/>
      <family val="2"/>
      <scheme val="minor"/>
    </font>
    <font>
      <sz val="24"/>
      <color rgb="FFFF9204"/>
      <name val="Calibri"/>
      <family val="2"/>
      <scheme val="minor"/>
    </font>
    <font>
      <sz val="48"/>
      <color rgb="FFFF9204"/>
      <name val="Segoe U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20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0" fontId="2" fillId="0" borderId="2" applyNumberFormat="0" applyFill="0" applyAlignment="0" applyProtection="0"/>
  </cellStyleXfs>
  <cellXfs count="28">
    <xf numFmtId="0" fontId="0" fillId="0" borderId="0" xfId="0"/>
    <xf numFmtId="49" fontId="1" fillId="0" borderId="0" xfId="1" applyNumberFormat="1"/>
    <xf numFmtId="0" fontId="0" fillId="0" borderId="1" xfId="0" applyBorder="1"/>
    <xf numFmtId="164" fontId="1" fillId="0" borderId="0" xfId="1" applyNumberFormat="1"/>
    <xf numFmtId="164" fontId="0" fillId="0" borderId="0" xfId="0" applyNumberFormat="1"/>
    <xf numFmtId="0" fontId="0" fillId="0" borderId="0" xfId="0" pivotButton="1"/>
    <xf numFmtId="14" fontId="1" fillId="0" borderId="0" xfId="1" applyNumberFormat="1"/>
    <xf numFmtId="14" fontId="0" fillId="0" borderId="0" xfId="0" applyNumberFormat="1"/>
    <xf numFmtId="0" fontId="0" fillId="0" borderId="0" xfId="0" applyNumberFormat="1"/>
    <xf numFmtId="0" fontId="1" fillId="0" borderId="0" xfId="1" applyNumberFormat="1"/>
    <xf numFmtId="0" fontId="0" fillId="0" borderId="0" xfId="0" applyAlignme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3" xfId="2" applyFont="1" applyFill="1" applyBorder="1"/>
    <xf numFmtId="0" fontId="0" fillId="0" borderId="0" xfId="0" applyBorder="1"/>
    <xf numFmtId="164" fontId="0" fillId="4" borderId="0" xfId="0" applyNumberFormat="1" applyFill="1"/>
    <xf numFmtId="0" fontId="5" fillId="0" borderId="3" xfId="2" applyFont="1" applyFill="1" applyBorder="1" applyAlignment="1"/>
    <xf numFmtId="0" fontId="0" fillId="5" borderId="0" xfId="0" applyFill="1"/>
    <xf numFmtId="164" fontId="0" fillId="5" borderId="0" xfId="0" applyNumberFormat="1" applyFill="1"/>
    <xf numFmtId="0" fontId="8" fillId="0" borderId="0" xfId="0" applyFont="1" applyFill="1" applyAlignment="1"/>
    <xf numFmtId="0" fontId="7" fillId="0" borderId="0" xfId="0" applyFont="1" applyFill="1"/>
    <xf numFmtId="0" fontId="6" fillId="0" borderId="0" xfId="0" applyFont="1" applyFill="1"/>
    <xf numFmtId="164" fontId="9" fillId="3" borderId="0" xfId="0" applyNumberFormat="1" applyFont="1" applyFill="1"/>
    <xf numFmtId="0" fontId="10" fillId="0" borderId="0" xfId="0" applyFont="1"/>
    <xf numFmtId="0" fontId="10" fillId="6" borderId="4" xfId="0" applyFont="1" applyFill="1" applyBorder="1"/>
    <xf numFmtId="164" fontId="10" fillId="6" borderId="4" xfId="0" applyNumberFormat="1" applyFont="1" applyFill="1" applyBorder="1"/>
  </cellXfs>
  <cellStyles count="3">
    <cellStyle name="Normal" xfId="0" builtinId="0"/>
    <cellStyle name="Normal 2" xfId="1" xr:uid="{00000000-0005-0000-0000-00002F000000}"/>
    <cellStyle name="Título 1" xfId="2" builtinId="16"/>
  </cellStyles>
  <dxfs count="24">
    <dxf>
      <numFmt numFmtId="19" formatCode="dd/mm/yyyy"/>
    </dxf>
    <dxf>
      <numFmt numFmtId="30" formatCode="@"/>
    </dxf>
    <dxf>
      <numFmt numFmtId="30" formatCode="@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8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colors>
    <mruColors>
      <color rgb="FFFF9204"/>
      <color rgb="FFE8E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[amazon_data.xlsx]Dashboard!Tabela dinâmica3</c:name>
    <c:fmtId val="0"/>
  </c:pivotSource>
  <c:chart>
    <c:autoTitleDeleted val="1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Dashboard!$BG$7:$BG$15</c:f>
              <c:strCache>
                <c:ptCount val="9"/>
                <c:pt idx="0">
                  <c:v>January </c:v>
                </c:pt>
                <c:pt idx="1">
                  <c:v>February </c:v>
                </c:pt>
                <c:pt idx="2">
                  <c:v>June </c:v>
                </c:pt>
                <c:pt idx="3">
                  <c:v>July </c:v>
                </c:pt>
                <c:pt idx="4">
                  <c:v>August </c:v>
                </c:pt>
                <c:pt idx="5">
                  <c:v>September </c:v>
                </c:pt>
                <c:pt idx="6">
                  <c:v>October </c:v>
                </c:pt>
                <c:pt idx="7">
                  <c:v>November </c:v>
                </c:pt>
                <c:pt idx="8">
                  <c:v>December</c:v>
                </c:pt>
              </c:strCache>
            </c:strRef>
          </c:cat>
          <c:val>
            <c:numRef>
              <c:f>Dashboard!$BH$7:$BH$15</c:f>
              <c:numCache>
                <c:formatCode>_-[$$-409]* #,##0.00_ ;_-[$$-409]* \-#,##0.00\ ;_-[$$-409]* "-"??_ ;_-@_ </c:formatCode>
                <c:ptCount val="9"/>
                <c:pt idx="0">
                  <c:v>4592</c:v>
                </c:pt>
                <c:pt idx="1">
                  <c:v>4967</c:v>
                </c:pt>
                <c:pt idx="2">
                  <c:v>1698</c:v>
                </c:pt>
                <c:pt idx="3">
                  <c:v>2395</c:v>
                </c:pt>
                <c:pt idx="4">
                  <c:v>7640</c:v>
                </c:pt>
                <c:pt idx="5">
                  <c:v>9084</c:v>
                </c:pt>
                <c:pt idx="6">
                  <c:v>10979</c:v>
                </c:pt>
                <c:pt idx="7">
                  <c:v>13672</c:v>
                </c:pt>
                <c:pt idx="8">
                  <c:v>34150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C-4222-AE02-38AD1DF0F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725319"/>
        <c:axId val="227727367"/>
      </c:barChart>
      <c:catAx>
        <c:axId val="227725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27367"/>
        <c:crosses val="autoZero"/>
        <c:auto val="1"/>
        <c:lblAlgn val="ctr"/>
        <c:lblOffset val="100"/>
        <c:noMultiLvlLbl val="0"/>
      </c:catAx>
      <c:valAx>
        <c:axId val="227727367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227725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[amazon_data.xlsx]Dashboard!Tabela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</a:p>
        </c:rich>
      </c:tx>
      <c:layout>
        <c:manualLayout>
          <c:xMode val="edge"/>
          <c:yMode val="edge"/>
          <c:x val="0.44275111368257708"/>
          <c:y val="2.7658083835410983E-2"/>
        </c:manualLayout>
      </c:layout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204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204"/>
          </a:solidFill>
          <a:ln>
            <a:noFill/>
          </a:ln>
          <a:effectLst/>
        </c:spPr>
      </c:pivotFmt>
      <c:pivotFmt>
        <c:idx val="2"/>
        <c:spPr>
          <a:solidFill>
            <a:srgbClr val="FF920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20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Dashboard!$BG$22:$BG$24</c:f>
              <c:strCache>
                <c:ptCount val="2"/>
                <c:pt idx="0">
                  <c:v>Delivered to buyer</c:v>
                </c:pt>
                <c:pt idx="1">
                  <c:v>Returned to seller</c:v>
                </c:pt>
              </c:strCache>
            </c:strRef>
          </c:cat>
          <c:val>
            <c:numRef>
              <c:f>Dashboard!$BH$22:$BH$24</c:f>
              <c:numCache>
                <c:formatCode>General</c:formatCode>
                <c:ptCount val="2"/>
                <c:pt idx="0">
                  <c:v>160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1-4850-92E6-8E9BBA08B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219399"/>
        <c:axId val="228226055"/>
      </c:barChart>
      <c:catAx>
        <c:axId val="22821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26055"/>
        <c:crosses val="autoZero"/>
        <c:auto val="1"/>
        <c:lblAlgn val="ctr"/>
        <c:lblOffset val="100"/>
        <c:noMultiLvlLbl val="0"/>
      </c:catAx>
      <c:valAx>
        <c:axId val="228226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8219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</xdr:row>
      <xdr:rowOff>0</xdr:rowOff>
    </xdr:from>
    <xdr:to>
      <xdr:col>7</xdr:col>
      <xdr:colOff>352425</xdr:colOff>
      <xdr:row>22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73CAF7-DC2E-E71C-333D-DFC76FBA4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00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</xdr:row>
      <xdr:rowOff>0</xdr:rowOff>
    </xdr:from>
    <xdr:to>
      <xdr:col>3</xdr:col>
      <xdr:colOff>76200</xdr:colOff>
      <xdr:row>34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7778CE-CBDD-6631-6326-08456DC8B875}"/>
            </a:ext>
            <a:ext uri="{147F2762-F138-4A5C-976F-8EAC2B608ADB}">
              <a16:predDERef xmlns:a16="http://schemas.microsoft.com/office/drawing/2014/main" pred="{4B73CAF7-DC2E-E71C-333D-DFC76FBA4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4191000"/>
          <a:ext cx="1866900" cy="243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0</xdr:rowOff>
    </xdr:from>
    <xdr:to>
      <xdr:col>0</xdr:col>
      <xdr:colOff>1619250</xdr:colOff>
      <xdr:row>5</xdr:row>
      <xdr:rowOff>209550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9161A8-996F-45FB-8231-DDC7469C65BD}"/>
            </a:ext>
            <a:ext uri="{147F2762-F138-4A5C-976F-8EAC2B608ADB}">
              <a16:predDERef xmlns:a16="http://schemas.microsoft.com/office/drawing/2014/main" pred="{26CF7E9F-073A-4E83-857E-9A091C158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0"/>
          <a:ext cx="1143000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7</xdr:row>
      <xdr:rowOff>161925</xdr:rowOff>
    </xdr:from>
    <xdr:to>
      <xdr:col>0</xdr:col>
      <xdr:colOff>1781175</xdr:colOff>
      <xdr:row>22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onths  1">
              <a:extLst>
                <a:ext uri="{FF2B5EF4-FFF2-40B4-BE49-F238E27FC236}">
                  <a16:creationId xmlns:a16="http://schemas.microsoft.com/office/drawing/2014/main" id="{332DC192-745B-CC0E-215F-927C05F15A6F}"/>
                </a:ext>
                <a:ext uri="{147F2762-F138-4A5C-976F-8EAC2B608ADB}">
                  <a16:predDERef xmlns:a16="http://schemas.microsoft.com/office/drawing/2014/main" pred="{799161A8-996F-45FB-8231-DDC7469C6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2505075"/>
              <a:ext cx="169545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219075</xdr:colOff>
      <xdr:row>7</xdr:row>
      <xdr:rowOff>161925</xdr:rowOff>
    </xdr:from>
    <xdr:to>
      <xdr:col>8</xdr:col>
      <xdr:colOff>571500</xdr:colOff>
      <xdr:row>23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AD9D0A-4D3D-ACCE-BA6A-0DD347EA71C9}"/>
            </a:ext>
            <a:ext uri="{147F2762-F138-4A5C-976F-8EAC2B608ADB}">
              <a16:predDERef xmlns:a16="http://schemas.microsoft.com/office/drawing/2014/main" pred="{332DC192-745B-CC0E-215F-927C05F15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3</xdr:row>
      <xdr:rowOff>171450</xdr:rowOff>
    </xdr:from>
    <xdr:to>
      <xdr:col>4</xdr:col>
      <xdr:colOff>581025</xdr:colOff>
      <xdr:row>5</xdr:row>
      <xdr:rowOff>9525</xdr:rowOff>
    </xdr:to>
    <xdr:sp macro="" textlink="">
      <xdr:nvSpPr>
        <xdr:cNvPr id="15" name="Retângulo com Canto Aparado do Mesmo Lado 14">
          <a:extLst>
            <a:ext uri="{FF2B5EF4-FFF2-40B4-BE49-F238E27FC236}">
              <a16:creationId xmlns:a16="http://schemas.microsoft.com/office/drawing/2014/main" id="{7EB79661-A8F4-9514-DA9F-FBDAB25A0EF8}"/>
            </a:ext>
            <a:ext uri="{147F2762-F138-4A5C-976F-8EAC2B608ADB}">
              <a16:predDERef xmlns:a16="http://schemas.microsoft.com/office/drawing/2014/main" pred="{C2AD9D0A-4D3D-ACCE-BA6A-0DD347EA71C9}"/>
            </a:ext>
          </a:extLst>
        </xdr:cNvPr>
        <xdr:cNvSpPr/>
      </xdr:nvSpPr>
      <xdr:spPr>
        <a:xfrm>
          <a:off x="2181225" y="857250"/>
          <a:ext cx="4391025" cy="428625"/>
        </a:xfrm>
        <a:prstGeom prst="snip2Same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selle</a:t>
          </a:r>
          <a:r>
            <a:rPr lang="en-US" sz="20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US" sz="20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2021</a:t>
          </a:r>
        </a:p>
      </xdr:txBody>
    </xdr:sp>
    <xdr:clientData/>
  </xdr:twoCellAnchor>
  <xdr:twoCellAnchor>
    <xdr:from>
      <xdr:col>10</xdr:col>
      <xdr:colOff>9525</xdr:colOff>
      <xdr:row>5</xdr:row>
      <xdr:rowOff>95250</xdr:rowOff>
    </xdr:from>
    <xdr:to>
      <xdr:col>16</xdr:col>
      <xdr:colOff>133350</xdr:colOff>
      <xdr:row>23</xdr:row>
      <xdr:rowOff>57150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2084EF0-B409-5A60-03FA-94E20D228EEC}"/>
            </a:ext>
            <a:ext uri="{147F2762-F138-4A5C-976F-8EAC2B608ADB}">
              <a16:predDERef xmlns:a16="http://schemas.microsoft.com/office/drawing/2014/main" pred="{7EB79661-A8F4-9514-DA9F-FBDAB25A0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788169560183" createdVersion="8" refreshedVersion="8" minRefreshableVersion="3" recordCount="171" xr:uid="{8DDDAEE9-E834-4941-AFE0-C851BB715F65}">
  <cacheSource type="worksheet">
    <worksheetSource name="Tabela1"/>
  </cacheSource>
  <cacheFields count="13">
    <cacheField name="order_no" numFmtId="49">
      <sharedItems/>
    </cacheField>
    <cacheField name="order_date" numFmtId="14">
      <sharedItems containsSemiMixedTypes="0" containsNonDate="0" containsDate="1" containsString="0" minDate="2021-01-11T00:00:00" maxDate="2022-01-01T00:00:00"/>
    </cacheField>
    <cacheField name="months " numFmtId="0">
      <sharedItems count="9">
        <s v="July "/>
        <s v="October "/>
        <s v="November "/>
        <s v="September "/>
        <s v="June "/>
        <s v="August "/>
        <s v="February "/>
        <s v="January "/>
        <s v="December"/>
      </sharedItems>
    </cacheField>
    <cacheField name="buyer" numFmtId="49">
      <sharedItems/>
    </cacheField>
    <cacheField name="ship_city" numFmtId="49">
      <sharedItems/>
    </cacheField>
    <cacheField name="ship_state" numFmtId="49">
      <sharedItems/>
    </cacheField>
    <cacheField name="sku" numFmtId="49">
      <sharedItems/>
    </cacheField>
    <cacheField name="description" numFmtId="49">
      <sharedItems/>
    </cacheField>
    <cacheField name="quantity" numFmtId="49">
      <sharedItems/>
    </cacheField>
    <cacheField name="item_total" numFmtId="164">
      <sharedItems containsMixedTypes="1" containsNumber="1" containsInteger="1" minValue="175" maxValue="3897" count="19">
        <n v="449"/>
        <s v=""/>
        <n v="1099"/>
        <n v="200"/>
        <n v="399"/>
        <n v="649"/>
        <n v="250"/>
        <n v="549"/>
        <n v="175"/>
        <n v="1299"/>
        <n v="349"/>
        <n v="898"/>
        <n v="1347"/>
        <n v="499"/>
        <n v="475"/>
        <n v="3897"/>
        <n v="1499"/>
        <n v="899"/>
        <n v="1796"/>
      </sharedItems>
    </cacheField>
    <cacheField name="shipping_fee" numFmtId="164">
      <sharedItems containsMixedTypes="1" containsNumber="1" minValue="47.2" maxValue="241.9"/>
    </cacheField>
    <cacheField name="cod" numFmtId="49">
      <sharedItems containsBlank="1"/>
    </cacheField>
    <cacheField name="order_status" numFmtId="49">
      <sharedItems count="2">
        <s v="Delivered to buyer"/>
        <s v="Returned to seller"/>
      </sharedItems>
    </cacheField>
  </cacheFields>
  <extLst>
    <ext xmlns:x14="http://schemas.microsoft.com/office/spreadsheetml/2009/9/main" uri="{725AE2AE-9491-48be-B2B4-4EB974FC3084}">
      <x14:pivotCacheDefinition pivotCacheId="13925348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405-9763961-5211537"/>
    <d v="2021-07-18T00:00:00"/>
    <x v="0"/>
    <s v="Mr,"/>
    <s v="CHANDIGARH"/>
    <s v="CHANDIGARH"/>
    <s v="SKU:  2X-3C0F-KNJE"/>
    <s v="100% Leather Elephant Shaped Piggy Coin Bank | Block Printed West Bengal Handicrafts (Shantiniketan Art) | Money Bank for Kids | Children's Gift Ideas"/>
    <s v="1"/>
    <x v="0"/>
    <s v=""/>
    <s v=""/>
    <x v="0"/>
  </r>
  <r>
    <s v="404-3964908-7850720"/>
    <d v="2021-10-19T00:00:00"/>
    <x v="1"/>
    <s v="Minam"/>
    <s v="PASIGHAT"/>
    <s v="ARUNACHAL PRADESH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171-8103182-4289117"/>
    <d v="2021-11-28T00:00:00"/>
    <x v="2"/>
    <s v="yatipertin"/>
    <s v="PASIGHAT"/>
    <s v="ARUNACHAL PRADESH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405-3171677-9557154"/>
    <d v="2021-07-28T00:00:00"/>
    <x v="0"/>
    <s v="aciya"/>
    <s v="DEVARAKONDA"/>
    <s v="TELANGANA"/>
    <s v="SKU:  AH-J3AO-R7DN"/>
    <s v="Pure 100% Leather Block Print Rectangular Jewelry Box with Mirror | Button Closure Multiple Utility Case (Shantiniketan Handicrafts) (Yellow)"/>
    <s v="1"/>
    <x v="1"/>
    <s v=""/>
    <s v="Cash On Delivery"/>
    <x v="0"/>
  </r>
  <r>
    <s v="402-8910771-1215552"/>
    <d v="2021-09-28T00:00:00"/>
    <x v="3"/>
    <s v="Susmita"/>
    <s v="MUMBAI"/>
    <s v="MAHARASHTRA"/>
    <s v="SKU:  KL-7WAA-Z82I"/>
    <s v="Pure Leather Sling Bag with Multiple Pockets and Adjustable Strap | Shantiniketan Block Print Cross-Body Bags for Women (1 pc) (Brown)"/>
    <s v="1"/>
    <x v="2"/>
    <n v="84.96"/>
    <s v=""/>
    <x v="0"/>
  </r>
  <r>
    <s v="406-9292208-6725123"/>
    <d v="2021-06-17T00:00:00"/>
    <x v="4"/>
    <s v="Subinita"/>
    <s v="HOWRAH"/>
    <s v="WEST BENGAL"/>
    <s v="SKU:  HH-FOWV-5YWO"/>
    <s v="Women's Trendy Pure Leather Clutch Purse | Leather Zipper Wallet"/>
    <s v="1"/>
    <x v="3"/>
    <s v=""/>
    <s v=""/>
    <x v="0"/>
  </r>
  <r>
    <s v="404-5794317-7737924"/>
    <d v="2021-08-12T00:00:00"/>
    <x v="5"/>
    <s v="shailendra"/>
    <s v="ORAI"/>
    <s v="UTTAR PRADESH"/>
    <s v="SKU:  TQ-OE6K-9DIK"/>
    <s v="Ultra Slim 100% Pure Leather Men's Wallet with Cash Card and Coin Compartments | Jet Black Gent's Money Organizer with Cover (1 pc)"/>
    <s v="1"/>
    <x v="1"/>
    <s v=""/>
    <s v="Cash On Delivery"/>
    <x v="1"/>
  </r>
  <r>
    <s v="405-8702211-4054722"/>
    <d v="2021-09-29T00:00:00"/>
    <x v="3"/>
    <s v="Pratima"/>
    <s v="BAREILLY"/>
    <s v="UTTAR PRADESH"/>
    <s v="SKU:  S1-A92Q-JU3X"/>
    <s v="100% Pure Leather Shantiniketan Clutch Purse: Traditional Block Print Bi-color Women's Wallets with Multiple Pockets and Zipper Compartments (1 pc) (G"/>
    <s v="1"/>
    <x v="4"/>
    <n v="84.96"/>
    <s v="Cash On Delivery"/>
    <x v="0"/>
  </r>
  <r>
    <s v="171-1434812-8061163"/>
    <d v="2021-11-13T00:00:00"/>
    <x v="2"/>
    <s v="Ipshita"/>
    <s v="BENGALURU"/>
    <s v="KARNATAKA"/>
    <s v="SKU:  3F-4R9N-Z8NJ"/>
    <s v="Set of 2 Pure Leather Block Print Round Jewelry Boxes | Button Closure Multiple Utility Case (Shantiniketan Handicrafts) (Yellow)"/>
    <s v="1"/>
    <x v="4"/>
    <n v="84.96"/>
    <s v=""/>
    <x v="0"/>
  </r>
  <r>
    <s v="171-7954707-4463549"/>
    <d v="2021-08-09T00:00:00"/>
    <x v="5"/>
    <s v="A,Jayaprada"/>
    <s v="Bhilai"/>
    <s v="CHHATTISGARH"/>
    <s v="SKU:  NU-CKZ5-4O49"/>
    <s v="Pure Leather Sling Bag with Multiple Pockets and Adjustable Strap | Shantiniketan Block Print Cross-Body Bags for Women (1 pc) (Yellow)"/>
    <s v="1"/>
    <x v="2"/>
    <s v=""/>
    <s v=""/>
    <x v="0"/>
  </r>
  <r>
    <s v="403-3146183-4920328"/>
    <d v="2021-09-04T00:00:00"/>
    <x v="3"/>
    <s v="Sumeet"/>
    <s v="FARIDABAD"/>
    <s v="HARYANA"/>
    <s v="SKU:  2X-3C0F-KNJE"/>
    <s v="100% Leather Elephant Shaped Piggy Coin Bank | Block Printed West Bengal Handicrafts (Shantiniketan Art) | Money Bank for Kids | Children's Gift Ideas"/>
    <s v="1"/>
    <x v="0"/>
    <n v="114.46"/>
    <s v=""/>
    <x v="0"/>
  </r>
  <r>
    <s v="404-4406917-9569950"/>
    <d v="2021-11-16T00:00:00"/>
    <x v="2"/>
    <s v="Rolipar"/>
    <s v="AGARTALA"/>
    <s v="TRIPURA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402-5321389-8685152"/>
    <d v="2021-10-16T00:00:00"/>
    <x v="1"/>
    <s v="Blessan"/>
    <s v="COONOOR"/>
    <s v="TAMIL NADU"/>
    <s v="SKU:  94-TSV3-EIW6"/>
    <s v="Bright and Colorful Shantiniketan Leather Elephant Piggy Coin Bank for Kids/Adults | Light-Weight Handcrafted Elephant Shaped Money Bank (Green Large"/>
    <s v="1"/>
    <x v="0"/>
    <n v="84.96"/>
    <s v="Cash On Delivery"/>
    <x v="0"/>
  </r>
  <r>
    <s v="403-4385783-1379508"/>
    <d v="2021-10-04T00:00:00"/>
    <x v="1"/>
    <s v="Aditi"/>
    <s v="PUNE"/>
    <s v="MAHARASHTRA"/>
    <s v="SKU:  FL-4CMG-CU48"/>
    <s v="Pure Leather Sling Bag with Multiple Pockets and Adjustable Strap | Shantiniketan Block Print Cross-Body Bags for Women (1 pc) (Black)"/>
    <s v="1"/>
    <x v="2"/>
    <n v="84.96"/>
    <s v=""/>
    <x v="0"/>
  </r>
  <r>
    <s v="408-9557300-6760347"/>
    <d v="2021-10-14T00:00:00"/>
    <x v="1"/>
    <s v="Satish"/>
    <s v="MANTHA"/>
    <s v="MAHARASHTRA"/>
    <s v="SKU:  YJ-5CCT-M3PP"/>
    <s v="Pure Leather Camel Color Gent's Wallet with Coin Compartment and Card Holders | Men's Ultra Slim Money Organiser (1 pc)"/>
    <s v="1"/>
    <x v="1"/>
    <n v="84.96"/>
    <s v="Cash On Delivery"/>
    <x v="1"/>
  </r>
  <r>
    <s v="402-4179660-9937142"/>
    <d v="2021-09-05T00:00:00"/>
    <x v="3"/>
    <s v="K"/>
    <s v="KOLKATA"/>
    <s v="WEST BENGAL"/>
    <s v="SKU:  KL-7WAA-Z82I"/>
    <s v="Pure Leather Sling Bag with Multiple Pockets and Adjustable Strap | Shantiniketan Block Print Cross-Body Bags for Women (1 pc) (Brown)"/>
    <s v="1"/>
    <x v="2"/>
    <n v="62.54"/>
    <s v=""/>
    <x v="0"/>
  </r>
  <r>
    <s v="405-6918787-5602743"/>
    <d v="2021-08-25T00:00:00"/>
    <x v="5"/>
    <s v="Mosin"/>
    <s v="MAHALINGPUR"/>
    <s v="KARNATAKA"/>
    <s v="SKU:  TQ-OE6K-9DIK"/>
    <s v="Ultra Slim 100% Pure Leather Men's Wallet with Cash Card and Coin Compartments | Jet Black Gent's Money Organizer with Cover (1 pc)"/>
    <s v="1"/>
    <x v="5"/>
    <n v="81.42"/>
    <s v="Cash On Delivery"/>
    <x v="0"/>
  </r>
  <r>
    <s v="406-1403658-9371527"/>
    <d v="2021-11-27T00:00:00"/>
    <x v="2"/>
    <s v="shilpin"/>
    <s v="MUMBAI"/>
    <s v="MAHARASHTRA"/>
    <s v="SKU:  PG-WS6J-89DG"/>
    <s v="Bright and Colorful Shantiniketan Leather Elephant Piggy Coin Bank for Kids/Adults | Light-Weight Handcrafted Elephant Shaped Money Bank (Blue Large)"/>
    <s v="1"/>
    <x v="0"/>
    <n v="84.96"/>
    <s v=""/>
    <x v="0"/>
  </r>
  <r>
    <s v="407-2082022-4357107"/>
    <d v="2021-11-21T00:00:00"/>
    <x v="2"/>
    <s v="prithi"/>
    <s v="HYDERABAD"/>
    <s v="TELANGANA"/>
    <s v="SKU:  O9-OVS7-G9XK"/>
    <s v="Set of 2 Pure Leather Block Print Round Jewelry Boxes | Button Closure Multiple Utility Case (Shantiniketan Handicrafts) (Black)"/>
    <s v="1"/>
    <x v="4"/>
    <n v="84.96"/>
    <s v=""/>
    <x v="0"/>
  </r>
  <r>
    <s v="402-8678022-3083562"/>
    <d v="2021-10-01T00:00:00"/>
    <x v="1"/>
    <s v="Heena"/>
    <s v="MUMBAI"/>
    <s v="MAHARASHTRA"/>
    <s v="SKU:  S1-A92Q-JU3X"/>
    <s v="100% Pure Leather Shantiniketan Clutch Purse: Traditional Block Print Bi-color Women's Wallets with Multiple Pockets and Zipper Compartments (1 pc) (G"/>
    <s v="1"/>
    <x v="4"/>
    <n v="84.96"/>
    <s v="Cash On Delivery"/>
    <x v="0"/>
  </r>
  <r>
    <s v="402-1146202-1933154"/>
    <d v="2021-09-10T00:00:00"/>
    <x v="3"/>
    <s v="Hemal"/>
    <s v="MUMBAI 400 026"/>
    <s v="MAHARASHTRA"/>
    <s v="SKU:  AY-Z7BT-BMVM"/>
    <s v="Women's Pure Leather Jhallar Clutch Purse with Zipper Compartments | Floral Block Print Ladies Wallet (Red 1 pc)"/>
    <s v="1"/>
    <x v="4"/>
    <n v="84.96"/>
    <m/>
    <x v="0"/>
  </r>
  <r>
    <s v="402-6406639-0884351"/>
    <d v="2021-11-10T00:00:00"/>
    <x v="2"/>
    <s v="Neha"/>
    <s v="CUTTACK"/>
    <s v="ODISHA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171-6105173-4790734"/>
    <d v="2021-11-26T00:00:00"/>
    <x v="2"/>
    <s v="Geetika"/>
    <s v="GURUGRAM"/>
    <s v="HARYANA"/>
    <s v="SKU:  DN-0WDX-VYOT"/>
    <s v="Women's Set of 5 Multicolor Pure Leather Single Lipstick Cases with Mirror Handy and Compact Handcrafted Shantiniketan Block Printed Jewelry Boxes"/>
    <s v="1"/>
    <x v="1"/>
    <n v="84.96"/>
    <s v=""/>
    <x v="1"/>
  </r>
  <r>
    <s v="406-9975868-3000368"/>
    <d v="2021-10-20T00:00:00"/>
    <x v="1"/>
    <s v="Hema"/>
    <s v="BENGALURU"/>
    <s v="KARNATAKA"/>
    <s v="SKU:  AY-Z7BT-BMVM"/>
    <s v="Women's Pure Leather Jhallar Clutch Purse with Zipper Compartments | Floral Block Print Ladies Wallet (Red 1 pc)"/>
    <s v="1"/>
    <x v="4"/>
    <n v="84.96"/>
    <s v=""/>
    <x v="0"/>
  </r>
  <r>
    <s v="403-7876698-8356365"/>
    <d v="2021-06-25T00:00:00"/>
    <x v="4"/>
    <s v="Yash"/>
    <s v="MUMBAI"/>
    <s v="MAHARASHTRA"/>
    <s v="SKU:  3O-GBSM-TYZE"/>
    <s v="100% Leather Ganesh Ji Piggy Coin Bank | Block Printed West Bengal Handicrafts (Shantiniketan Art) | Money Bank for Kids | Children's Gift Ideas (Red"/>
    <s v="1"/>
    <x v="1"/>
    <s v=""/>
    <s v="Cash On Delivery"/>
    <x v="1"/>
  </r>
  <r>
    <s v="402-2054361-4513137"/>
    <d v="2021-09-06T00:00:00"/>
    <x v="3"/>
    <s v="Ramesh"/>
    <s v="JALESWAR"/>
    <s v="ODISHA"/>
    <s v="SKU:  TQ-OE6K-9DIK"/>
    <s v="Ultra Slim 100% Pure Leather Men's Wallet with Cash Card and Coin Compartments | Jet Black Gent's Money Organizer with Cover (1 pc)"/>
    <s v="1"/>
    <x v="5"/>
    <n v="60.18"/>
    <s v="Cash On Delivery"/>
    <x v="0"/>
  </r>
  <r>
    <s v="405-0695973-7365161"/>
    <d v="2021-07-22T00:00:00"/>
    <x v="0"/>
    <s v="Sailaja"/>
    <s v="VISAKHAPATNAM"/>
    <s v="ANDHRA PRADESH"/>
    <s v="SKU:  AH-J3AO-R7DN"/>
    <s v="Pure 100% Leather Block Print Rectangular Jewelry Box with Mirror | Button Closure Multiple Utility Case (Shantiniketan Handicrafts) (Yellow)"/>
    <s v="1"/>
    <x v="6"/>
    <s v=""/>
    <s v=""/>
    <x v="0"/>
  </r>
  <r>
    <s v="404-9680499-3084319"/>
    <d v="2021-10-29T00:00:00"/>
    <x v="1"/>
    <s v="Manisha"/>
    <s v="PUNEpune"/>
    <s v="MAHARASHTRA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406-3518585-4093925"/>
    <d v="2021-09-20T00:00:00"/>
    <x v="3"/>
    <s v="m"/>
    <s v="NEW DELHI"/>
    <s v="DELHI"/>
    <s v="SKU:  0M-RFE6-443C"/>
    <s v="Set of 2 Pure Leather Block Print Round Jewelry Boxes | Button Closure Multiple Utility Case (Shantiniketan Handicrafts) (Green)"/>
    <s v="1"/>
    <x v="4"/>
    <n v="84.96"/>
    <s v="Cash On Delivery"/>
    <x v="0"/>
  </r>
  <r>
    <s v="404-6883107-8347508"/>
    <d v="2021-08-04T00:00:00"/>
    <x v="5"/>
    <s v="chirag"/>
    <s v="RAIA"/>
    <s v="GOA"/>
    <s v="SKU:  DN-0WDX-VYOT"/>
    <s v="Women's Set of 5 Multicolor Pure Leather Single Lipstick Cases with Mirror Handy and Compact Handcrafted Shantiniketan Block Printed Jewelry Boxes"/>
    <s v="1"/>
    <x v="0"/>
    <s v=""/>
    <s v=""/>
    <x v="0"/>
  </r>
  <r>
    <s v="404-8244254-9274747"/>
    <d v="2021-10-11T00:00:00"/>
    <x v="1"/>
    <s v="Subhendu"/>
    <s v="Bhubaneswar"/>
    <s v="ODISHA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407-2330390-9441923"/>
    <d v="2021-10-16T00:00:00"/>
    <x v="1"/>
    <s v="Harsimranjit"/>
    <s v="JAGDALPUR"/>
    <s v="CHHATTISGARH"/>
    <s v="SKU:  TY-4GPW-U54J"/>
    <s v="Set of 2 Pure Leather Block Print Round Jewelry Boxes | Button Closure Multiple Utility Case (Shantiniketan Handicrafts) (Red)"/>
    <s v="1"/>
    <x v="4"/>
    <n v="60.18"/>
    <s v=""/>
    <x v="0"/>
  </r>
  <r>
    <s v="407-0864859-8033111"/>
    <d v="2021-10-29T00:00:00"/>
    <x v="1"/>
    <s v="Deepshikha"/>
    <s v="HYDERABAD"/>
    <s v="TELANGANA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402-0249599-9225933"/>
    <d v="2021-09-18T00:00:00"/>
    <x v="3"/>
    <s v="Elizabeth"/>
    <s v="BENGALURU"/>
    <s v="KARNATAKA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3-0713090-0169940"/>
    <d v="2021-10-28T00:00:00"/>
    <x v="1"/>
    <s v="sayani"/>
    <s v="KOLKATA"/>
    <s v="WEST BENGAL"/>
    <s v="SKU:  9S-GE8P-RIR4"/>
    <s v="Pure 100% Leather Block Print Rectangular Jewelry Box with Mirror | Button Closure Multiple Utility Case (Shantiniketan Handicrafts) (Brown)"/>
    <s v="1"/>
    <x v="6"/>
    <n v="47.2"/>
    <s v="Cash On Delivery"/>
    <x v="0"/>
  </r>
  <r>
    <s v="403-7215480-9090745"/>
    <d v="2021-09-07T00:00:00"/>
    <x v="3"/>
    <s v="Madan"/>
    <s v="BENGALURU"/>
    <s v="KARNATAKA"/>
    <s v="SKU:  3F-4R9N-Z8NJ"/>
    <s v="Set of 2 Pure Leather Block Print Round Jewelry Boxes | Button Closure Multiple Utility Case (Shantiniketan Handicrafts) (Yellow)"/>
    <s v="1"/>
    <x v="4"/>
    <n v="84.96"/>
    <s v=""/>
    <x v="0"/>
  </r>
  <r>
    <s v="403-7217325-7956317"/>
    <d v="2021-09-02T00:00:00"/>
    <x v="3"/>
    <s v="maha"/>
    <s v="SALEM"/>
    <s v="TAMIL NADU"/>
    <s v="SKU:  0M-RFE6-443C"/>
    <s v="Set of 2 Pure Leather Block Print Round Jewelry Boxes | Button Closure Multiple Utility Case (Shantiniketan Handicrafts) (Green)"/>
    <s v="1"/>
    <x v="4"/>
    <n v="84.96"/>
    <s v=""/>
    <x v="0"/>
  </r>
  <r>
    <s v="405-8876256-0913907"/>
    <d v="2021-09-18T00:00:00"/>
    <x v="3"/>
    <s v="Shreyasi"/>
    <s v="PUNE"/>
    <s v="MAHARASHTRA"/>
    <s v="SKU:  CR-6E69-UXFW"/>
    <s v="Bright and Colorful Shantiniketan Leather Elephant Piggy Coin Bank for Kids/Adults | Light-Weight Handcrafted Elephant Shaped Money Bank (Black Large"/>
    <s v="1"/>
    <x v="0"/>
    <n v="84.96"/>
    <s v=""/>
    <x v="0"/>
  </r>
  <r>
    <s v="407-0539421-4069143"/>
    <d v="2021-11-01T00:00:00"/>
    <x v="2"/>
    <s v="Parmeet"/>
    <s v="JAMMU"/>
    <s v="JAMMU &amp; KASHMIR"/>
    <s v="SKU:  0M-RFE6-443C"/>
    <s v="Set of 2 Pure Leather Block Print Round Jewelry Boxes | Button Closure Multiple Utility Case (Shantiniketan Handicrafts) (Green)"/>
    <s v="1"/>
    <x v="4"/>
    <n v="84.96"/>
    <s v="Cash On Delivery"/>
    <x v="0"/>
  </r>
  <r>
    <s v="404-8031085-1381943"/>
    <d v="2021-11-26T00:00:00"/>
    <x v="2"/>
    <s v="Kangana"/>
    <s v="NEW DELHI"/>
    <s v="DELHI"/>
    <s v="SKU:  54-D265-B74K"/>
    <s v="Set of 2 Pure Leather Block Print Round Jewelry Boxes | Button Closure Multiple Utility Case (Shantiniketan Handicrafts) (Brown)"/>
    <s v="4"/>
    <x v="1"/>
    <n v="84.96"/>
    <s v=""/>
    <x v="1"/>
  </r>
  <r>
    <s v="407-6856738-1928342"/>
    <d v="2021-09-06T00:00:00"/>
    <x v="3"/>
    <s v="Nina"/>
    <s v="HYDERABAD"/>
    <s v="TELANGANA"/>
    <s v="SKU:  D4-UD68-TMXH"/>
    <s v="Set of 3 Multiple Utility Leather Boxes | Bright Polka Dot Jewelry Cases in Different Size (Shantiniketan Handcrafted Gifts) (Yellow)"/>
    <s v="1"/>
    <x v="7"/>
    <n v="84.96"/>
    <s v=""/>
    <x v="0"/>
  </r>
  <r>
    <s v="405-4776641-5401922"/>
    <d v="2021-10-01T00:00:00"/>
    <x v="1"/>
    <s v="Rathish"/>
    <s v="AHMEDABAD"/>
    <s v="GUJARAT"/>
    <s v="SKU:  9S-GE8P-RIR4"/>
    <s v="Pure 100% Leather Block Print Rectangular Jewelry Box with Mirror | Button Closure Multiple Utility Case (Shantiniketan Handicrafts) (Brown)"/>
    <s v="1"/>
    <x v="6"/>
    <n v="84.96"/>
    <s v=""/>
    <x v="0"/>
  </r>
  <r>
    <s v="407-7181943-1725128"/>
    <d v="2021-10-04T00:00:00"/>
    <x v="1"/>
    <s v="Rohan"/>
    <s v="GURUGRAM"/>
    <s v="HARYANA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5-8481932-1229966"/>
    <d v="2021-10-31T00:00:00"/>
    <x v="1"/>
    <s v="Amala"/>
    <s v="KOLKATA"/>
    <s v="WEST BENGAL"/>
    <s v="SKU:  S1-A92Q-JU3X"/>
    <s v="100% Pure Leather Shantiniketan Clutch Purse: Traditional Block Print Bi-color Women's Wallets with Multiple Pockets and Zipper Compartments (1 pc) (G"/>
    <s v="1"/>
    <x v="1"/>
    <n v="47.2"/>
    <s v=""/>
    <x v="1"/>
  </r>
  <r>
    <s v="404-9914447-5578722"/>
    <d v="2021-08-06T00:00:00"/>
    <x v="5"/>
    <s v="Dipali"/>
    <s v="MUMBAI"/>
    <s v="MAHARASHTRA"/>
    <s v="SKU:  DN-0WDX-VYOT"/>
    <s v="Women's Set of 5 Multicolor Pure Leather Single Lipstick Cases with Mirror Handy and Compact Handcrafted Shantiniketan Block Printed Jewelry Boxes"/>
    <s v="1"/>
    <x v="0"/>
    <s v=""/>
    <s v=""/>
    <x v="0"/>
  </r>
  <r>
    <s v="404-6735919-2773947"/>
    <d v="2021-10-31T00:00:00"/>
    <x v="1"/>
    <s v="swagata13051978"/>
    <s v="SILCHAR"/>
    <s v="ASSAM"/>
    <s v="SKU:  9S-GE8P-RIR4"/>
    <s v="Pure 100% Leather Block Print Rectangular Jewelry Box with Mirror | Button Closure Multiple Utility Case (Shantiniketan Handicrafts) (Brown)"/>
    <s v="1"/>
    <x v="6"/>
    <n v="60.18"/>
    <s v="Cash On Delivery"/>
    <x v="0"/>
  </r>
  <r>
    <s v="407-1526604-7803547"/>
    <d v="2021-08-13T00:00:00"/>
    <x v="5"/>
    <s v="Jolly"/>
    <s v="GUWAHATI"/>
    <s v="ASSAM"/>
    <s v="SKU:  KL-7WAA-Z82I"/>
    <s v="Pure Leather Sling Bag with Multiple Pockets and Adjustable Strap | Shantiniketan Block Print Cross-Body Bags for Women (1 pc) (Brown)"/>
    <s v="1"/>
    <x v="2"/>
    <s v=""/>
    <s v="Cash On Delivery"/>
    <x v="0"/>
  </r>
  <r>
    <s v="405-1981073-5970737"/>
    <d v="2021-10-05T00:00:00"/>
    <x v="1"/>
    <s v="Jitu"/>
    <s v="GUWAHATI"/>
    <s v="ASSAM"/>
    <s v="SKU:  I1-AWVT-2QOL"/>
    <s v="Women's Pure Leather Jhallar Clutch Purse with Zipper Compartments | Polka Dot Block Print Ladies Wallet (Brown 1 pc)"/>
    <s v="1"/>
    <x v="1"/>
    <n v="60.18"/>
    <s v="Cash On Delivery"/>
    <x v="1"/>
  </r>
  <r>
    <s v="171-5705929-2195543"/>
    <d v="2021-08-16T00:00:00"/>
    <x v="5"/>
    <s v="John"/>
    <s v="Ernakulam"/>
    <s v="KERALA"/>
    <s v="SKU:  NU-CKZ5-4O49"/>
    <s v="Pure Leather Sling Bag with Multiple Pockets and Adjustable Strap | Shantiniketan Block Print Cross-Body Bags for Women (1 pc) (Yellow)"/>
    <s v="1"/>
    <x v="2"/>
    <s v=""/>
    <s v="Cash On Delivery"/>
    <x v="0"/>
  </r>
  <r>
    <s v="405-1111150-1834754"/>
    <d v="2021-09-05T00:00:00"/>
    <x v="3"/>
    <s v="Jai"/>
    <s v="HYDERABAD"/>
    <s v="TELANGANA"/>
    <s v="SKU:  TQ-OE6K-9DIK"/>
    <s v="Ultra Slim 100% Pure Leather Men's Wallet with Cash Card and Coin Compartments | Jet Black Gent's Money Organizer with Cover (1 pc)"/>
    <s v="1"/>
    <x v="5"/>
    <n v="84.96"/>
    <s v=""/>
    <x v="0"/>
  </r>
  <r>
    <s v="403-1631300-1893901"/>
    <d v="2021-11-13T00:00:00"/>
    <x v="2"/>
    <s v="saravanan"/>
    <s v="KARAIKKUDI"/>
    <s v="TAMIL NADU"/>
    <s v="SKU:  WR-ANCX-U28C"/>
    <s v="Bright and Colorful Shantiniketan Leather Elephant Piggy Coin Bank for Kids/Adults | Light-Weight Handcrafted Elephant Shaped Money Bank (Orange Larg"/>
    <s v="1"/>
    <x v="0"/>
    <n v="84.96"/>
    <s v="Cash On Delivery"/>
    <x v="0"/>
  </r>
  <r>
    <s v="402-5621007-4266725"/>
    <d v="2021-08-24T00:00:00"/>
    <x v="5"/>
    <s v="Tarek"/>
    <s v="MUMBAI"/>
    <s v="MAHARASHTRA"/>
    <s v="SKU:  W4-JQ2J-ZUF2"/>
    <s v="100% Pure Leather Shantiniketan Clutch Purse: Traditional Block Print Bi-color Women's Wallets with Multiple Pockets and Zipper Compartments (1 pc) (O"/>
    <s v="1"/>
    <x v="4"/>
    <s v=""/>
    <s v=""/>
    <x v="0"/>
  </r>
  <r>
    <s v="404-7918321-6528342"/>
    <d v="2021-06-16T00:00:00"/>
    <x v="4"/>
    <s v="narendra"/>
    <s v="KODAD"/>
    <s v="TELANGANA"/>
    <s v="SKU:  5B-NW9K-L3AO"/>
    <s v="Pure Leather Elephant Shaped Piggy Coin Bank | Money Bank for Kids | Gift Ideas (Red S)"/>
    <s v="1"/>
    <x v="8"/>
    <s v=""/>
    <s v="Cash On Delivery"/>
    <x v="0"/>
  </r>
  <r>
    <s v="406-5723826-0192341"/>
    <d v="2021-10-22T00:00:00"/>
    <x v="1"/>
    <s v="Sailee"/>
    <s v="MUMBAI"/>
    <s v="MAHARASHTRA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406-5208445-6151521"/>
    <d v="2021-10-26T00:00:00"/>
    <x v="1"/>
    <s v="Saravana"/>
    <s v="KOLKATA"/>
    <s v="WEST BENGAL"/>
    <s v="SKU:  86-JXO3-EJ7K"/>
    <s v="Bright and Colorful Handmade Shantiniketan Leather Ganesh Ji Piggy Coin Bank for Kids/Adults | Home Décor Handicrafts (Green)"/>
    <s v="1"/>
    <x v="7"/>
    <n v="47.2"/>
    <s v=""/>
    <x v="0"/>
  </r>
  <r>
    <s v="404-5515061-6165137"/>
    <d v="2021-10-15T00:00:00"/>
    <x v="1"/>
    <s v="Arpita"/>
    <s v="KOLKATA"/>
    <s v="WEST BENGAL"/>
    <s v="SKU:  0M-RFE6-443C"/>
    <s v="Set of 2 Pure Leather Block Print Round Jewelry Boxes | Button Closure Multiple Utility Case (Shantiniketan Handicrafts) (Green)"/>
    <s v="1"/>
    <x v="4"/>
    <n v="47.2"/>
    <s v=""/>
    <x v="0"/>
  </r>
  <r>
    <s v="406-4504814-5756357"/>
    <d v="2021-06-16T00:00:00"/>
    <x v="4"/>
    <s v="Shamal"/>
    <s v="BADLAPUR"/>
    <s v="MAHARASHTRA"/>
    <s v="SKU:  3O-GBSM-TYZE"/>
    <s v="Pure Leather Ganesh Piggy Bank | Money Bank for Kids (Red M)"/>
    <s v="1"/>
    <x v="8"/>
    <s v=""/>
    <s v=""/>
    <x v="0"/>
  </r>
  <r>
    <s v="403-7364233-8411519"/>
    <d v="2021-11-04T00:00:00"/>
    <x v="2"/>
    <s v="Salima"/>
    <s v="MUMBAI"/>
    <s v="MAHARASHTRA"/>
    <s v="SKU:  0M-RFE6-443C"/>
    <s v="Set of 2 Pure Leather Block Print Round Jewelry Boxes | Button Closure Multiple Utility Case (Shantiniketan Handicrafts) (Green)"/>
    <s v="1"/>
    <x v="4"/>
    <n v="84.96"/>
    <s v=""/>
    <x v="0"/>
  </r>
  <r>
    <s v="402-0413922-0000337"/>
    <d v="2021-11-11T00:00:00"/>
    <x v="2"/>
    <s v="Hemant"/>
    <s v="Surat"/>
    <s v="GUJARAT"/>
    <s v="SKU:  SB-WDQN-SDN9"/>
    <s v="Traditional Block-Printed Women's 100% Pure Leather Shoulder Bag: Double Handle Red Handbag | Multi-pocket Shantiniketan Leather Bag for Women"/>
    <s v="1"/>
    <x v="9"/>
    <n v="178.18"/>
    <s v="Cash On Delivery"/>
    <x v="0"/>
  </r>
  <r>
    <s v="171-1070115-6195560"/>
    <d v="2021-06-16T00:00:00"/>
    <x v="4"/>
    <s v="soumya"/>
    <s v="THANE"/>
    <s v="MAHARASHTRA"/>
    <s v="SKU:  3O-GBSM-TYZE"/>
    <s v="Pure Leather Ganesh Piggy Bank | Money Bank for Kids (Red M)"/>
    <s v="1"/>
    <x v="8"/>
    <s v=""/>
    <s v=""/>
    <x v="0"/>
  </r>
  <r>
    <s v="407-5532335-4314768"/>
    <d v="2021-06-13T00:00:00"/>
    <x v="4"/>
    <s v="Pavithra"/>
    <s v="POLLACHI"/>
    <s v="TAMIL NADU"/>
    <s v="SKU:  QV-PHXY-LGY8"/>
    <s v="Pure Leather Ganesh Piggy Bank | Money Bank for Kids (Black M)"/>
    <s v="1"/>
    <x v="8"/>
    <s v=""/>
    <s v=""/>
    <x v="0"/>
  </r>
  <r>
    <s v="402-6806027-8773139"/>
    <d v="2021-11-29T00:00:00"/>
    <x v="2"/>
    <s v="Rana"/>
    <s v="Pune"/>
    <s v="MAHARASHTRA"/>
    <s v="SKU:  0M-RFE6-443C"/>
    <s v="Set of 2 Pure Leather Block Print Round Jewelry Boxes | Button Closure Multiple Utility Case (Shantiniketan Handicrafts) (Green)"/>
    <s v="1"/>
    <x v="4"/>
    <n v="84.96"/>
    <s v=""/>
    <x v="0"/>
  </r>
  <r>
    <s v="407-5896934-9005133"/>
    <d v="2021-10-26T00:00:00"/>
    <x v="1"/>
    <s v="Sumita"/>
    <s v="MUMBAI"/>
    <s v="MAHARASHTRA"/>
    <s v="SKU:  H6-A9OJ-C0Q1"/>
    <s v="100% Pure Leather Shantiniketan Clutch Purse: Traditional Block Print Bi-color Women's Wallets with Multiple Pockets and Zipper Compartments (1 pc) (R"/>
    <s v="1"/>
    <x v="4"/>
    <n v="84.96"/>
    <s v=""/>
    <x v="0"/>
  </r>
  <r>
    <s v="403-3892336-2999521"/>
    <d v="2021-06-28T00:00:00"/>
    <x v="4"/>
    <s v="Ajay"/>
    <s v="RAIPUR"/>
    <s v="CHHATTISGARH"/>
    <s v="SKU:  3O-GBSM-TYZE"/>
    <s v="100% Leather Ganesh Ji Piggy Coin Bank | Block Printed West Bengal Handicrafts (Shantiniketan Art) | Money Bank for Kids | Children's Gift Ideas (Red"/>
    <s v="1"/>
    <x v="10"/>
    <s v=""/>
    <s v=""/>
    <x v="0"/>
  </r>
  <r>
    <s v="406-9458224-2717157"/>
    <d v="2021-11-09T00:00:00"/>
    <x v="2"/>
    <s v="Pooja"/>
    <s v="GURUGRAM"/>
    <s v="HARYANA"/>
    <s v="SKU:  DN-0WDX-VYOT"/>
    <s v="Women's Set of 5 Multicolor Pure Leather Single Lipstick Cases with Mirror Handy and Compact Handcrafted Shantiniketan Block Printed Jewelry Boxes"/>
    <s v="1"/>
    <x v="1"/>
    <n v="84.96"/>
    <s v=""/>
    <x v="0"/>
  </r>
  <r>
    <s v="408-4317100-7692318"/>
    <d v="2021-11-07T00:00:00"/>
    <x v="2"/>
    <s v="Priyanka"/>
    <s v="BAREILLY"/>
    <s v="UTTAR PRADESH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2-6701060-6592325"/>
    <d v="2021-10-01T00:00:00"/>
    <x v="1"/>
    <s v="Heena"/>
    <s v="MUMBAI"/>
    <s v="MAHARASHTRA"/>
    <s v="SKU:  1T-RAUZ-UZKO"/>
    <s v="Women's Pure Leather Jhallar Clutch Purse with Zipper Compartments | Floral Block Print Ladies Wallet (Green 1 pc)"/>
    <s v="1"/>
    <x v="4"/>
    <n v="84.96"/>
    <s v="Cash On Delivery"/>
    <x v="0"/>
  </r>
  <r>
    <s v="405-0978927-9443544"/>
    <d v="2021-11-10T00:00:00"/>
    <x v="2"/>
    <s v="A"/>
    <s v="JALANDHAR"/>
    <s v="PUNJAB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7-4805322-7498725"/>
    <d v="2021-06-23T00:00:00"/>
    <x v="4"/>
    <s v="Velmurugan"/>
    <s v="THISAYANVILAI"/>
    <s v="TAMIL NADU"/>
    <s v="SKU:  CR-6E69-UXFW"/>
    <s v="Pure Leather Elephant Shaped Piggy Coin Bank | Money Bank for Kids | Gift Ideas (Black L)"/>
    <s v="1"/>
    <x v="0"/>
    <s v=""/>
    <s v=""/>
    <x v="0"/>
  </r>
  <r>
    <s v="406-6432664-4853932"/>
    <d v="2021-09-19T00:00:00"/>
    <x v="3"/>
    <s v="Nilan1a"/>
    <s v="BIDHAN NAGAR"/>
    <s v="WEST BENGAL"/>
    <s v="SKU:  DN-0WDX-VYOT"/>
    <s v="Women's Set of 5 Multicolor Pure Leather Single Lipstick Cases with Mirror Handy and Compact Handcrafted Shantiniketan Block Printed Jewelry Boxes"/>
    <s v="1"/>
    <x v="0"/>
    <n v="47.2"/>
    <s v=""/>
    <x v="0"/>
  </r>
  <r>
    <s v="407-8790284-0125124"/>
    <d v="2021-10-10T00:00:00"/>
    <x v="1"/>
    <s v="Harsimranjit"/>
    <s v="JAGDALPUR"/>
    <s v="CHHATTISGARH"/>
    <s v="SKU:  0M-RFE6-443C"/>
    <s v="Set of 2 Pure Leather Block Print Round Jewelry Boxes | Button Closure Multiple Utility Case (Shantiniketan Handicrafts) (Green)"/>
    <s v="1"/>
    <x v="4"/>
    <n v="60.18"/>
    <s v=""/>
    <x v="0"/>
  </r>
  <r>
    <s v="402-4834476-0320360"/>
    <d v="2021-08-16T00:00:00"/>
    <x v="5"/>
    <s v="Abhishek"/>
    <s v="KOLKATA"/>
    <s v="WEST BENGAL"/>
    <s v="SKU:  UR-WJJ0-I3TN"/>
    <s v="Pure 100% Leather Block Print Rectangular Jewelry Box with Mirror | Button Closure Multiple Utility Case (Shantiniketan Handicrafts) (Red)"/>
    <s v="1"/>
    <x v="6"/>
    <s v=""/>
    <s v=""/>
    <x v="0"/>
  </r>
  <r>
    <s v="171-2479820-8391565"/>
    <d v="2021-07-29T00:00:00"/>
    <x v="0"/>
    <s v="Rajat"/>
    <s v="New Delhi"/>
    <s v="DELHI"/>
    <s v="SKU:  RG-29TH-MROF"/>
    <s v="Bright and Colorful Handmade Shantiniketan Leather Ganesh Ji Piggy Coin Bank for Kids/Adults | Home Décor Handicrafts (Blue)"/>
    <s v="1"/>
    <x v="10"/>
    <s v=""/>
    <s v=""/>
    <x v="0"/>
  </r>
  <r>
    <s v="408-0358198-6688308"/>
    <d v="2021-07-21T00:00:00"/>
    <x v="0"/>
    <s v="S,"/>
    <s v="Tuticorin"/>
    <s v="TAMIL NADU"/>
    <s v="SKU:  GP-RMI4-GJ6L"/>
    <s v="Bright &amp; Colorful Shantiniketan Leather Piggy Bank for Kids/Adults | Light-Weight Handcrafted Owl Shaped Coin Bank (Green)"/>
    <s v="1"/>
    <x v="7"/>
    <s v=""/>
    <s v="Cash On Delivery"/>
    <x v="0"/>
  </r>
  <r>
    <s v="171-2095880-5548309"/>
    <d v="2021-11-12T00:00:00"/>
    <x v="2"/>
    <s v="Kusum"/>
    <s v="JAIPUR"/>
    <s v="RAJASTHAN"/>
    <s v="SKU:  SB-WDQN-SDN9"/>
    <s v="Traditional Block-Printed Women's 100% Pure Leather Shoulder Bag: Double Handle Red Handbag | Multi-pocket Shantiniketan Leather Bag for Women"/>
    <s v="1"/>
    <x v="9"/>
    <n v="210.04"/>
    <s v=""/>
    <x v="0"/>
  </r>
  <r>
    <s v="403-3087278-4501963"/>
    <d v="2021-11-27T00:00:00"/>
    <x v="2"/>
    <s v="Vinithra"/>
    <s v="CHENNAI"/>
    <s v="TAMIL NADU"/>
    <s v="SKU:  U1-8YOK-510E"/>
    <s v="100% Leather Cat Shaped Piggy Coin Bank | Block Printed West Bengal Handicrafts (Shantiniketan Art) | Money Bank for Kids | Children's Gift Ideas (Blu"/>
    <s v="1"/>
    <x v="0"/>
    <n v="84.96"/>
    <s v=""/>
    <x v="0"/>
  </r>
  <r>
    <s v="406-6774677-4553965"/>
    <d v="2021-07-13T00:00:00"/>
    <x v="0"/>
    <s v="Priyanka"/>
    <s v="HYDERABAD"/>
    <s v="TELANGANA"/>
    <s v="SKU:  5B-NW9K-L3AO"/>
    <s v="100% Leather Elephant Shaped Piggy Coin Bank | Block Printed West Bengal Handicrafts (Shantiniketan Art) | Money Bank for Kids | Children's Gift Ideas"/>
    <s v="1"/>
    <x v="10"/>
    <s v=""/>
    <s v="Cash On Delivery"/>
    <x v="0"/>
  </r>
  <r>
    <s v="402-6614720-2475547"/>
    <d v="2021-09-19T00:00:00"/>
    <x v="3"/>
    <s v="An1a"/>
    <s v="PALAI"/>
    <s v="KERALA"/>
    <s v="SKU:  9S-GE8P-RIR4"/>
    <s v="Pure 100% Leather Block Print Rectangular Jewelry Box with Mirror | Button Closure Multiple Utility Case (Shantiniketan Handicrafts) (Brown)"/>
    <s v="1"/>
    <x v="6"/>
    <n v="84.96"/>
    <s v="Cash On Delivery"/>
    <x v="0"/>
  </r>
  <r>
    <s v="405-4735668-0393136"/>
    <d v="2021-09-23T00:00:00"/>
    <x v="3"/>
    <s v="Noopur"/>
    <s v="KORBA"/>
    <s v="CHHATTISGARH"/>
    <s v="SKU:  DN-0WDX-VYOT"/>
    <s v="Women's Set of 5 Multicolor Pure Leather Single Lipstick Cases with Mirror Handy and Compact Handcrafted Shantiniketan Block Printed Jewelry Boxes"/>
    <s v="1"/>
    <x v="0"/>
    <n v="60.18"/>
    <s v=""/>
    <x v="0"/>
  </r>
  <r>
    <s v="408-7282076-9330761"/>
    <d v="2021-10-24T00:00:00"/>
    <x v="1"/>
    <s v="Deepak"/>
    <s v="BENGALURU"/>
    <s v="KARNATAKA"/>
    <s v="SKU:  D9-CVL3-8JF6"/>
    <s v="Bright and Colorful Handmade Shantiniketan Leather Ganesh Ji Piggy Coin Bank for Kids/Adults | Home Décor Handicrafts (Black)"/>
    <s v="1"/>
    <x v="7"/>
    <n v="84.96"/>
    <s v=""/>
    <x v="0"/>
  </r>
  <r>
    <s v="403-9782961-0644358"/>
    <d v="2021-11-10T00:00:00"/>
    <x v="2"/>
    <s v="Madhavi"/>
    <s v="HYDERABAD"/>
    <s v="TELANGANA"/>
    <s v="SKU:  54-D265-B74K"/>
    <s v="Set of 2 Pure Leather Block Print Round Jewelry Boxes | Button Closure Multiple Utility Case (Shantiniketan Handicrafts) (Brown)"/>
    <s v="1"/>
    <x v="4"/>
    <n v="84.96"/>
    <s v=""/>
    <x v="0"/>
  </r>
  <r>
    <s v="402-3054284-1226754"/>
    <d v="2021-11-18T00:00:00"/>
    <x v="2"/>
    <s v="Sayantani"/>
    <s v="KOLKATA"/>
    <s v="WEST BENGAL"/>
    <s v="SKU:  G4-B5GQ-8V30"/>
    <s v="100% Pure Leather Shantiniketan Clutch Purse: Traditional Block Print Bi-color Women's Wallets with Multiple Pockets and Zipper Compartments (1 pc) (B"/>
    <s v="1"/>
    <x v="4"/>
    <n v="47.2"/>
    <s v=""/>
    <x v="0"/>
  </r>
  <r>
    <s v="403-4722970-7103536"/>
    <d v="2021-11-04T00:00:00"/>
    <x v="2"/>
    <s v="Salima"/>
    <s v="MUMBAI"/>
    <s v="MAHARASHTRA"/>
    <s v="SKU:  TY-4GPW-U54J"/>
    <s v="Set of 2 Pure Leather Block Print Round Jewelry Boxes | Button Closure Multiple Utility Case (Shantiniketan Handicrafts) (Red)"/>
    <s v="1"/>
    <x v="4"/>
    <n v="84.96"/>
    <s v=""/>
    <x v="0"/>
  </r>
  <r>
    <s v="407-8029342-1162714"/>
    <d v="2021-09-01T00:00:00"/>
    <x v="3"/>
    <s v="Sharad"/>
    <s v="BENGALURU"/>
    <s v="KARNATAKA"/>
    <s v="SKU:  NV-1DWM-41VX"/>
    <s v="Bright &amp; Colorful Shantiniketan Leather Piggy Bank for Kids/Adults | Light-Weight Handcrafted Owl Shaped Coin Bank (Red)"/>
    <s v="1"/>
    <x v="7"/>
    <n v="114.46"/>
    <s v=""/>
    <x v="0"/>
  </r>
  <r>
    <s v="406-9976360-8935534"/>
    <d v="2021-11-20T00:00:00"/>
    <x v="2"/>
    <s v="shilpin"/>
    <s v="MUMBAI"/>
    <s v="MAHARASHTRA"/>
    <s v="SKU:  PG-WS6J-89DG"/>
    <s v="Bright and Colorful Shantiniketan Leather Elephant Piggy Coin Bank for Kids/Adults | Light-Weight Handcrafted Elephant Shaped Money Bank (Blue Large)"/>
    <s v="1"/>
    <x v="0"/>
    <n v="84.96"/>
    <s v=""/>
    <x v="0"/>
  </r>
  <r>
    <s v="406-0702616-4123501"/>
    <d v="2021-08-29T00:00:00"/>
    <x v="5"/>
    <s v="Mahalakshmi"/>
    <s v="CHENNAI"/>
    <s v="TAMIL NADU"/>
    <s v="SKU:  9W-AS6W-6O9X"/>
    <s v="Pure 100% Leather Block Print Rectangular Jewelry Box with Mirror | Button Closure Multiple Utility Case (Shantiniketan Handicrafts) (Blue)"/>
    <s v="1"/>
    <x v="6"/>
    <n v="81.42"/>
    <s v="Cash On Delivery"/>
    <x v="0"/>
  </r>
  <r>
    <s v="408-6770537-3774707"/>
    <d v="2021-10-17T00:00:00"/>
    <x v="1"/>
    <s v="Paromita"/>
    <s v="Mumbai"/>
    <s v="MAHARASHTRA"/>
    <s v="SKU:  DN-0WDX-VYOT"/>
    <s v="Women's Set of 5 Multicolor Pure Leather Single Lipstick Cases with Mirror Handy and Compact Handcrafted Shantiniketan Block Printed Jewelry Boxes"/>
    <s v="2"/>
    <x v="11"/>
    <n v="84.96"/>
    <s v=""/>
    <x v="0"/>
  </r>
  <r>
    <s v="403-4274611-4049927"/>
    <d v="2021-10-07T00:00:00"/>
    <x v="1"/>
    <s v="Pooja"/>
    <s v="SAHARANPUR"/>
    <s v="UTTAR PRADESH"/>
    <s v="SKU:  UR-WJJ0-I3TN"/>
    <s v="Pure 100% Leather Block Print Rectangular Jewelry Box with Mirror | Button Closure Multiple Utility Case (Shantiniketan Handicrafts) (Red)"/>
    <s v="1"/>
    <x v="1"/>
    <n v="84.96"/>
    <s v=""/>
    <x v="0"/>
  </r>
  <r>
    <s v="407-7598159-3965161"/>
    <d v="2021-11-15T00:00:00"/>
    <x v="2"/>
    <s v="chandni"/>
    <s v="THAMARASSERY"/>
    <s v="KERALA"/>
    <s v="SKU:  S1-A92Q-JU3X"/>
    <s v="100% Pure Leather Shantiniketan Clutch Purse: Traditional Block Print Bi-color Women's Wallets with Multiple Pockets and Zipper Compartments (1 pc) (G"/>
    <s v="1"/>
    <x v="4"/>
    <n v="210.04"/>
    <s v=""/>
    <x v="0"/>
  </r>
  <r>
    <s v="403-0124463-2966723"/>
    <d v="2021-07-26T00:00:00"/>
    <x v="0"/>
    <s v="Thanigaivel"/>
    <s v="CHENNAI"/>
    <s v="TAMIL NADU"/>
    <s v="SKU:  QD-RNE2-2FH8"/>
    <s v="Colourful and Bright Peacock Shaped Piggy Coin Bank | Block Printed West Bengal's 100% Leather Handicrafts (Shantiniketan Art) | Money Bank for Kids |"/>
    <s v="1"/>
    <x v="0"/>
    <s v=""/>
    <s v=""/>
    <x v="0"/>
  </r>
  <r>
    <s v="403-5745034-5441137"/>
    <d v="2021-08-20T00:00:00"/>
    <x v="5"/>
    <s v="parul"/>
    <s v="Surat"/>
    <s v="GUJARAT"/>
    <s v="SKU:  3V-FKXN-C4QJ"/>
    <s v="Handcrafted Women's Traditional Block Printed Handbag: 100% Pure Leather Shantiniketan Shoulder Bag | Multi Pocket with Highly Durable Leather Handles"/>
    <s v="1"/>
    <x v="2"/>
    <s v=""/>
    <s v="Cash On Delivery"/>
    <x v="0"/>
  </r>
  <r>
    <s v="404-1364960-1146735"/>
    <d v="2021-11-25T00:00:00"/>
    <x v="2"/>
    <s v="swati"/>
    <s v="GURUGRAM"/>
    <s v="HARYANA"/>
    <s v="SKU:  0M-RFE6-443C"/>
    <s v="Set of 2 Pure Leather Block Print Round Jewelry Boxes | Button Closure Multiple Utility Case (Shantiniketan Handicrafts) (Green)"/>
    <s v="1"/>
    <x v="4"/>
    <n v="84.96"/>
    <s v=""/>
    <x v="0"/>
  </r>
  <r>
    <s v="171-5917046-2682765"/>
    <d v="2021-10-07T00:00:00"/>
    <x v="1"/>
    <s v="Anku"/>
    <s v="GUWAHATI"/>
    <s v="ASSAM"/>
    <s v="SKU:  TQ-OE6K-9DIK"/>
    <s v="Ultra Slim 100% Pure Leather Men's Wallet with Cash Card and Coin Compartments | Jet Black Gent's Money Organizer with Cover (1 pc)"/>
    <s v="1"/>
    <x v="5"/>
    <n v="60.18"/>
    <s v="Cash On Delivery"/>
    <x v="0"/>
  </r>
  <r>
    <s v="408-9069501-2731541"/>
    <d v="2021-08-18T00:00:00"/>
    <x v="5"/>
    <s v="shweta"/>
    <s v="MUMBAI"/>
    <s v="MAHARASHTRA"/>
    <s v="SKU:  O9-OVS7-G9XK"/>
    <s v="Set of 2 Pure Leather Block Print Round Jewelry Boxes | Button Closure Multiple Utility Case (Shantiniketan Handicrafts) (Black)"/>
    <s v="1"/>
    <x v="4"/>
    <s v=""/>
    <s v=""/>
    <x v="0"/>
  </r>
  <r>
    <s v="403-3308024-9965128"/>
    <d v="2021-11-16T00:00:00"/>
    <x v="2"/>
    <s v="Madhavi"/>
    <s v="HYDERABAD"/>
    <s v="TELANGANA"/>
    <s v="SKU:  G4-B5GQ-8V30"/>
    <s v="100% Pure Leather Shantiniketan Clutch Purse: Traditional Block Print Bi-color Women's Wallets with Multiple Pockets and Zipper Compartments (1 pc) (B"/>
    <s v="1"/>
    <x v="4"/>
    <n v="84.96"/>
    <s v=""/>
    <x v="0"/>
  </r>
  <r>
    <s v="405-7861224-4380325"/>
    <d v="2021-11-13T00:00:00"/>
    <x v="2"/>
    <s v="Gaurang"/>
    <s v="AHMEDABAD"/>
    <s v="GUJARAT"/>
    <s v="SKU:  2X-3C0F-KNJE"/>
    <s v="100% Leather Elephant Shaped Piggy Coin Bank | Block Printed West Bengal Handicrafts (Shantiniketan Art) | Money Bank for Kids | Children's Gift Ideas"/>
    <s v="1"/>
    <x v="0"/>
    <n v="84.96"/>
    <s v=""/>
    <x v="0"/>
  </r>
  <r>
    <s v="406-9977841-6948310"/>
    <d v="2021-09-16T00:00:00"/>
    <x v="3"/>
    <s v="Pramod"/>
    <s v="GAUTAM BUDDHA NAGAR"/>
    <s v="UTTAR PRADESH"/>
    <s v="SKU:  0M-RFE6-443C"/>
    <s v="Set of 2 Pure Leather Block Print Round Jewelry Boxes | Button Closure Multiple Utility Case (Shantiniketan Handicrafts) (Green)"/>
    <s v="1"/>
    <x v="1"/>
    <n v="84.96"/>
    <s v=""/>
    <x v="0"/>
  </r>
  <r>
    <s v="171-6267238-3345112"/>
    <d v="2021-11-18T00:00:00"/>
    <x v="2"/>
    <s v="Geetika"/>
    <s v="GURUGRAM"/>
    <s v="HARYANA"/>
    <s v="SKU:  DN-0WDX-VYOT"/>
    <s v="Women's Set of 5 Multicolor Pure Leather Single Lipstick Cases with Mirror Handy and Compact Handcrafted Shantiniketan Block Printed Jewelry Boxes"/>
    <s v="3"/>
    <x v="12"/>
    <n v="84.96"/>
    <s v=""/>
    <x v="0"/>
  </r>
  <r>
    <s v="405-3304794-2671568"/>
    <d v="2021-10-09T00:00:00"/>
    <x v="1"/>
    <s v="Shobhit"/>
    <s v="NEW DELHI"/>
    <s v="DELHI"/>
    <s v="SKU:  D9-CVL3-8JF6"/>
    <s v="Bright and Colorful Handmade Shantiniketan Leather Ganesh Ji Piggy Coin Bank for Kids/Adults | Home Décor Handicrafts (Black)"/>
    <s v="1"/>
    <x v="7"/>
    <n v="84.96"/>
    <s v=""/>
    <x v="0"/>
  </r>
  <r>
    <s v="404-3621013-4015566"/>
    <d v="2021-08-08T00:00:00"/>
    <x v="5"/>
    <s v="roohi"/>
    <s v="BENGALURU"/>
    <s v="KARNATAKA"/>
    <s v="SKU:  54-D265-B74K"/>
    <s v="Set of 2 Pure Leather Block Print Round Jewelry Boxes | Button Closure Multiple Utility Case (Shantiniketan Handicrafts) (Brown)"/>
    <s v="1"/>
    <x v="4"/>
    <s v=""/>
    <s v="Cash On Delivery"/>
    <x v="0"/>
  </r>
  <r>
    <s v="407-9473791-2643568"/>
    <d v="2021-02-25T00:00:00"/>
    <x v="6"/>
    <s v="chandrima"/>
    <s v="KATWA"/>
    <s v="WEST BENGAL"/>
    <s v="SKU:  P1-LF2X-L3ZC"/>
    <s v="Colourful and Bright Peacock Shaped Piggy Coin Bank | Block Printed West Bengal's 100% Leather Handicrafts (Shantiniketan Art) | Money Bank for Kids | Children's Gift Ideas (1 pc) (Red)"/>
    <s v="1"/>
    <x v="0"/>
    <n v="60.18"/>
    <s v=""/>
    <x v="0"/>
  </r>
  <r>
    <s v="171-5463316-4433940"/>
    <d v="2021-01-27T00:00:00"/>
    <x v="7"/>
    <s v="Vadim"/>
    <s v="NEW DELHI"/>
    <s v="DELHI"/>
    <s v="SKU:  GP-RMI4-GJ6L"/>
    <s v="Bright &amp; Colorful Shantiniketan Leather Piggy Bank for Kids/Adults | Light-Weight Handcrafted Owl Shaped Coin Bank (Green)"/>
    <s v="1"/>
    <x v="7"/>
    <n v="84.96"/>
    <s v="Cash On Delivery"/>
    <x v="0"/>
  </r>
  <r>
    <s v="406-8570816-2548324"/>
    <d v="2021-01-30T00:00:00"/>
    <x v="7"/>
    <s v="pallavi"/>
    <s v="MUMBAI"/>
    <s v="MAHARASHTRA"/>
    <s v="SKU:  UR-WJJ0-I3TN"/>
    <s v="Set of 2 Pure 100% Leather Block Print Rectangular Jewelry Box with Mirror | Button Closure Multiple Utility Case (Shantiniketan Handicrafts)"/>
    <s v="1"/>
    <x v="13"/>
    <n v="84.96"/>
    <s v=""/>
    <x v="0"/>
  </r>
  <r>
    <s v="171-1925470-1621156"/>
    <d v="2021-01-25T00:00:00"/>
    <x v="7"/>
    <s v="Deepali"/>
    <s v="JODHPUR"/>
    <s v="RAJASTHAN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404-9528809-9494717"/>
    <d v="2021-12-03T00:00:00"/>
    <x v="8"/>
    <s v="Dr,"/>
    <s v="MALDA"/>
    <s v="WEST BENGAL"/>
    <s v="SKU:  TQ-OE6K-9DIK"/>
    <s v="Ultra Slim 100% Pure Leather Men's Wallet with Cash Card and Coin Compartments | Jet Black Gent's Money Organizer with Cover (1 pc)"/>
    <s v="1"/>
    <x v="5"/>
    <n v="60.18"/>
    <s v=""/>
    <x v="0"/>
  </r>
  <r>
    <s v="404-3361026-0027538"/>
    <d v="2021-11-29T00:00:00"/>
    <x v="2"/>
    <s v="Sayanti"/>
    <s v="NOIDA"/>
    <s v="UTTAR PRADESH"/>
    <s v="SKU:  7K-6YIU-KO0R"/>
    <s v="Women's Pure Leather Jhallar Clutch Purse with Zipper Compartments | Polka Dot Block Print Ladies Wallet (Dark Green 1 pc)"/>
    <s v="1"/>
    <x v="4"/>
    <n v="84.96"/>
    <s v=""/>
    <x v="0"/>
  </r>
  <r>
    <s v="408-1794879-4342714"/>
    <d v="2021-12-23T00:00:00"/>
    <x v="8"/>
    <s v="Apoorva"/>
    <s v="BENGALURU"/>
    <s v="KARNATAKA"/>
    <s v="SKU:  PG-WS6J-89DG"/>
    <s v="Bright and Colorful Shantiniketan Leather Elephant Piggy Coin Bank for Kids/Adults | Light-Weight Handcrafted Elephant Shaped Money Bank (Blue Large)"/>
    <s v="1"/>
    <x v="1"/>
    <n v="84.96"/>
    <s v=""/>
    <x v="0"/>
  </r>
  <r>
    <s v="403-2108547-9065907"/>
    <d v="2021-02-10T00:00:00"/>
    <x v="6"/>
    <s v="RishuGarg"/>
    <s v="CHANDIGARH"/>
    <s v="CHANDIGARH"/>
    <s v="SKU:  54-D265-B74K"/>
    <s v="Set of 3 Pure Leather Block Print Round Jewelry Boxes | Button Closure Multiple Utility Case (Shantiniketan Handicrafts) (Brown)"/>
    <s v="1"/>
    <x v="14"/>
    <n v="84.96"/>
    <s v="Cash On Delivery"/>
    <x v="0"/>
  </r>
  <r>
    <s v="405-0789055-6741110"/>
    <d v="2021-02-25T00:00:00"/>
    <x v="6"/>
    <s v="Harshini"/>
    <s v="SECUNDERABAD"/>
    <s v="TELANGANA"/>
    <s v="SKU:  W4-JQ2J-ZUF2"/>
    <s v="100% Pure Leather Shantiniketan Clutch Purse: Traditional Block Print Bi-color Women's Wallets with Multiple Pockets and Zipper Compartments (1 pc) (Orange)"/>
    <s v="1"/>
    <x v="4"/>
    <n v="84.96"/>
    <s v="Cash On Delivery"/>
    <x v="0"/>
  </r>
  <r>
    <s v="171-4664401-7903525"/>
    <d v="2021-12-26T00:00:00"/>
    <x v="8"/>
    <s v="Madhuparna"/>
    <s v="Kolkata"/>
    <s v="WEST BENGAL"/>
    <s v="SKU:  NT-6I2C-2TWX"/>
    <s v="Handcrafted Women's Handbag: 100% Pure Shantiniketan Leather Polka Dotted Shoulder Bag | Multi Pocket with Highly Durable Leather Handles (Black)"/>
    <s v="1"/>
    <x v="9"/>
    <n v="80.239999999999995"/>
    <s v=""/>
    <x v="0"/>
  </r>
  <r>
    <s v="406-1051099-3807565"/>
    <d v="2021-01-19T00:00:00"/>
    <x v="7"/>
    <s v="Shakti"/>
    <s v="CHANDIGARH"/>
    <s v="CHANDIGARH"/>
    <s v="SKU:  2X-3C0F-KNJE"/>
    <s v="100% Leather Elephant Shaped Piggy Coin Bank | Block Printed West Bengal Handicrafts (Shantiniketan Art) | Money Bank for Kids | Children's Gift Ideas"/>
    <s v="1"/>
    <x v="0"/>
    <n v="84.96"/>
    <s v=""/>
    <x v="0"/>
  </r>
  <r>
    <s v="408-9435263-6891514"/>
    <d v="2021-12-09T00:00:00"/>
    <x v="8"/>
    <s v="Sharmila"/>
    <s v="NOIDA"/>
    <s v="UTTAR PRADESH"/>
    <s v="SKU:  SB-WDQN-SDN9"/>
    <s v="Traditional Block-Printed Women's 100% Pure Leather Shoulder Bag: Double Handle Red Handbag | Multi-pocket Shantiniketan Leather Bag for Women"/>
    <s v="1"/>
    <x v="9"/>
    <n v="146.32"/>
    <s v=""/>
    <x v="0"/>
  </r>
  <r>
    <s v="405-0868310-6684357"/>
    <d v="2021-12-17T00:00:00"/>
    <x v="8"/>
    <s v="Monali"/>
    <s v="SIWAN"/>
    <s v="BIHAR"/>
    <s v="SKU:  X2-PMD5-PL2D"/>
    <s v="Bright and Colorful Handmade Shantiniketan Leather Ganesh Ji Piggy Coin Bank for Kids/Adults | Home Décor Handicrafts (Yellow)"/>
    <s v="1"/>
    <x v="7"/>
    <n v="60.18"/>
    <s v="Cash On Delivery"/>
    <x v="0"/>
  </r>
  <r>
    <s v="407-2925312-1225952"/>
    <d v="2021-12-08T00:00:00"/>
    <x v="8"/>
    <s v="anjali"/>
    <s v="GURUGRAM"/>
    <s v="HARYANA"/>
    <s v="SKU:  54-D265-B74K"/>
    <s v="Set of 2 Pure Leather Block Print Round Jewelry Boxes | Button Closure Multiple Utility Case (Shantiniketan Handicrafts) (Brown)"/>
    <s v="1"/>
    <x v="4"/>
    <n v="84.96"/>
    <s v=""/>
    <x v="0"/>
  </r>
  <r>
    <s v="405-0209265-6273962"/>
    <d v="2021-01-23T00:00:00"/>
    <x v="7"/>
    <s v="Gargi"/>
    <s v="Ernakulam"/>
    <s v="KERALA"/>
    <s v="SKU:  V6-KQJX-XGP2"/>
    <s v="Women's Pure Leather Jhallar Clutch Purse with Zipper Compartments | Motif Block Print Ladies Wallet (Blue 1 pc)"/>
    <s v="1"/>
    <x v="1"/>
    <n v="84.96"/>
    <s v=""/>
    <x v="1"/>
  </r>
  <r>
    <s v="403-0102354-2668323"/>
    <d v="2021-01-30T00:00:00"/>
    <x v="7"/>
    <s v="Jeevan"/>
    <s v="HYDERABAD"/>
    <s v="TELANGANA"/>
    <s v="SKU:  2X-3C0F-KNJE"/>
    <s v="100% Leather Elephant Shaped Piggy Coin Bank | Block Printed West Bengal Handicrafts (Shantiniketan Art) | Money Bank for Kids | Children's Gift Ideas"/>
    <s v="1"/>
    <x v="1"/>
    <n v="84.96"/>
    <s v="Cash On Delivery"/>
    <x v="0"/>
  </r>
  <r>
    <s v="407-3924859-8788324"/>
    <d v="2021-12-06T00:00:00"/>
    <x v="8"/>
    <s v="kritika"/>
    <s v="NAVI MUMBAI"/>
    <s v="MAHARASHTRA"/>
    <s v="SKU:  SB-WDQN-SDN9"/>
    <s v="Traditional Block-Printed Women's 100% Pure Leather Shoulder Bag: Double Handle Red Handbag | Multi-pocket Shantiniketan Leather Bag for Women"/>
    <s v="1"/>
    <x v="9"/>
    <n v="114.46"/>
    <s v="Cash On Delivery"/>
    <x v="0"/>
  </r>
  <r>
    <s v="402-6563725-6606725"/>
    <d v="2021-12-21T00:00:00"/>
    <x v="8"/>
    <s v="Mitra"/>
    <s v="Kolkata"/>
    <s v="WEST BENGAL"/>
    <s v="SKU:  SB-WDQN-SDN9"/>
    <s v="Traditional Block-Printed Women's 100% Pure Leather Shoulder Bag: Double Handle Red Handbag | Multi-pocket Shantiniketan Leather Bag for Women"/>
    <s v="3"/>
    <x v="15"/>
    <n v="133.34"/>
    <s v=""/>
    <x v="0"/>
  </r>
  <r>
    <s v="408-3173592-1224340"/>
    <d v="2021-12-09T00:00:00"/>
    <x v="8"/>
    <s v="Dipali"/>
    <s v="Mumbai"/>
    <s v="MAHARASHTRA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6-6970801-9059504"/>
    <d v="2021-12-01T00:00:00"/>
    <x v="8"/>
    <s v="Rebecca"/>
    <s v="Bardez"/>
    <s v="GOA"/>
    <s v="SKU:  CR-6E69-UXFW"/>
    <s v="Bright and Colorful Shantiniketan Leather Elephant Piggy Coin Bank for Kids/Adults | Light-Weight Handcrafted Elephant Shaped Money Bank (Black Large"/>
    <s v="1"/>
    <x v="0"/>
    <n v="84.96"/>
    <s v=""/>
    <x v="0"/>
  </r>
  <r>
    <s v="407-7313002-2067527"/>
    <d v="2021-12-04T00:00:00"/>
    <x v="8"/>
    <s v="pavithra"/>
    <s v="chennai"/>
    <s v="TAMIL NADU"/>
    <s v="SKU:  4H-Y62P-R483"/>
    <s v="Stylish and Sleek Multiple Pockets 100% Leather Shoulder Bag | Contemporary Indian Leather Handicrafts for Women (Black)"/>
    <s v="1"/>
    <x v="16"/>
    <n v="114.46"/>
    <s v=""/>
    <x v="0"/>
  </r>
  <r>
    <s v="402-9977250-1302757"/>
    <d v="2021-12-21T00:00:00"/>
    <x v="8"/>
    <s v="Mitra"/>
    <s v="CHENNAI"/>
    <s v="TAMIL NADU"/>
    <s v="SKU:  SB-WDQN-SDN9"/>
    <s v="Traditional Block-Printed Women's 100% Pure Leather Shoulder Bag: Double Handle Red Handbag | Multi-pocket Shantiniketan Leather Bag for Women"/>
    <s v="3"/>
    <x v="15"/>
    <n v="241.9"/>
    <s v=""/>
    <x v="0"/>
  </r>
  <r>
    <s v="404-7450458-9882702"/>
    <d v="2021-12-06T00:00:00"/>
    <x v="8"/>
    <s v="Arpita"/>
    <s v="Thane District"/>
    <s v="MAHARASHTRA"/>
    <s v="SKU:  4V-I7XD-JQVR"/>
    <s v="Bright and Colorful Shantiniketan Leather Elephant Piggy Coin Bank for Kids/Adults | Light-Weight Handcrafted Elephant Shaped Money Bank (Black Small"/>
    <s v="1"/>
    <x v="10"/>
    <n v="84.96"/>
    <s v=""/>
    <x v="0"/>
  </r>
  <r>
    <s v="402-4007700-9289906"/>
    <d v="2021-12-13T00:00:00"/>
    <x v="8"/>
    <s v="Valli"/>
    <s v="HYDERABAD"/>
    <s v="TELANGANA"/>
    <s v="SKU:  8V-OQ14-I63T"/>
    <s v="Bright and Colorful Shantiniketan Leather Elephant Piggy Coin Bank for Kids/Adults | Light-Weight Handcrafted Elephant Shaped Money Bank (Yellow Larg"/>
    <s v="1"/>
    <x v="0"/>
    <n v="84.96"/>
    <s v=""/>
    <x v="0"/>
  </r>
  <r>
    <s v="408-9442756-9477100"/>
    <d v="2021-12-02T00:00:00"/>
    <x v="8"/>
    <s v="amit"/>
    <s v="INDORE"/>
    <s v="MADHYA Pradesh"/>
    <s v="SKU:  CR-6E69-UXFW"/>
    <s v="Bright and Colorful Shantiniketan Leather Elephant Piggy Coin Bank for Kids/Adults | Light-Weight Handcrafted Elephant Shaped Money Bank (Black Large"/>
    <s v="1"/>
    <x v="0"/>
    <n v="84.96"/>
    <s v=""/>
    <x v="0"/>
  </r>
  <r>
    <s v="403-7552858-2817166"/>
    <d v="2021-12-04T00:00:00"/>
    <x v="8"/>
    <s v="Anastasiia"/>
    <s v="Visakhapatnam"/>
    <s v="ANDHRA PRADESH"/>
    <s v="SKU:  W4-JQ2J-ZUF2"/>
    <s v="100% Pure Leather Shantiniketan Clutch Purse: Traditional Block Print Bi-color Women's Wallets with Multiple Pockets and Zipper Compartments (1 pc) (O"/>
    <s v="1"/>
    <x v="4"/>
    <n v="84.96"/>
    <s v=""/>
    <x v="0"/>
  </r>
  <r>
    <s v="404-9326436-3517161"/>
    <d v="2021-12-29T00:00:00"/>
    <x v="8"/>
    <s v="Santhosh"/>
    <s v="BENGALURU"/>
    <s v="KARNATAKA"/>
    <s v="SKU:  4V-I7XD-JQVR"/>
    <s v="Bright and Colorful Shantiniketan Leather Elephant Piggy Coin Bank for Kids/Adults | Light-Weight Handcrafted Elephant Shaped Money Bank (Black Small"/>
    <s v="1"/>
    <x v="10"/>
    <n v="84.96"/>
    <s v=""/>
    <x v="0"/>
  </r>
  <r>
    <s v="405-8264291-1183552"/>
    <d v="2021-01-11T00:00:00"/>
    <x v="7"/>
    <s v="Aditi"/>
    <s v="NEW DELHI"/>
    <s v="DELHI"/>
    <s v="SKU:  94-TSV3-EIW6"/>
    <s v="Bright and Colorful Shantiniketan Leather Elephant Piggy Coin Bank for Kids/Adults | Light-Weight Handcrafted Elephant Shaped Money Bank (Green Large"/>
    <s v="1"/>
    <x v="0"/>
    <n v="84.96"/>
    <s v=""/>
    <x v="0"/>
  </r>
  <r>
    <s v="403-9089686-7304307"/>
    <d v="2021-12-06T00:00:00"/>
    <x v="8"/>
    <s v="J"/>
    <s v="BENGALURU"/>
    <s v="KARNATAKA"/>
    <s v="SKU:  ST-27BR-VEMQ"/>
    <s v="Stunning Women's Finished Leather Handbag | Sleek and Elegant Party Bag with Glamorous Steel Rings and Multiple Pockets (Pink)"/>
    <s v="1"/>
    <x v="17"/>
    <n v="114.46"/>
    <s v=""/>
    <x v="0"/>
  </r>
  <r>
    <s v="403-3882329-3552343"/>
    <d v="2021-01-20T00:00:00"/>
    <x v="7"/>
    <s v="maha"/>
    <s v="SALEM"/>
    <s v="TAMIL NADU"/>
    <s v="SKU:  3F-4R9N-Z8NJ"/>
    <s v="Set of 3 Pure Leather Block Print Round Jewelry Boxes | Button Closure Multiple Utility Case (Shantiniketan Handicrafts) (Yellow)"/>
    <s v="1"/>
    <x v="14"/>
    <n v="84.96"/>
    <s v=""/>
    <x v="0"/>
  </r>
  <r>
    <s v="407-4026447-7131527"/>
    <d v="2021-12-04T00:00:00"/>
    <x v="8"/>
    <s v="chandrima"/>
    <s v="BENGALURU"/>
    <s v="KARNATAKA"/>
    <s v="SKU:  NV-1DWM-41VX"/>
    <s v="Bright &amp; Colorful Shantiniketan Leather Piggy Bank for Kids/Adults | Light-Weight Handcrafted Owl Shaped Coin Bank (Red)"/>
    <s v="1"/>
    <x v="7"/>
    <n v="84.96"/>
    <s v=""/>
    <x v="0"/>
  </r>
  <r>
    <s v="171-5230421-3237921"/>
    <d v="2021-12-08T00:00:00"/>
    <x v="8"/>
    <s v="Geetika"/>
    <s v="GURUGRAM"/>
    <s v="HARYANA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3-2445664-7853913"/>
    <d v="2021-12-01T00:00:00"/>
    <x v="8"/>
    <s v="vvijayakakshmi"/>
    <s v="CHENNAI"/>
    <s v="TAMIL NADU"/>
    <s v="SKU:  AY-Z7BT-BMVM"/>
    <s v="Women's Pure Leather Jhallar Clutch Purse with Zipper Compartments | Floral Block Print Ladies Wallet (Red 1 pc)"/>
    <s v="1"/>
    <x v="4"/>
    <n v="84.96"/>
    <s v=""/>
    <x v="0"/>
  </r>
  <r>
    <s v="407-8892478-3863557"/>
    <d v="2021-02-14T00:00:00"/>
    <x v="6"/>
    <s v="Tapan"/>
    <s v="GHAZIABAD"/>
    <s v="UTTAR PRADESH"/>
    <s v="SKU:  NN-AGEZ-5DUM"/>
    <s v="Colourful and Bright Peacock Shaped Piggy Coin Bank | Block Printed West Bengal's 100% Leather Handicrafts (Shantiniketan Art) | Money Bank for Kids |"/>
    <s v="1"/>
    <x v="0"/>
    <n v="84.96"/>
    <s v=""/>
    <x v="0"/>
  </r>
  <r>
    <s v="171-3919731-3769907"/>
    <d v="2021-01-25T00:00:00"/>
    <x v="7"/>
    <s v="Deepali"/>
    <s v="JODHPUR"/>
    <s v="RAJASTHAN"/>
    <s v="SKU:  DN-0WDX-VYOT"/>
    <s v="Women's Set of 5 Multicolor Pure Leather Single Lipstick Cases with Mirror Handy and Compact Handcrafted Shantiniketan Block Printed Jewelry Boxes"/>
    <s v="1"/>
    <x v="1"/>
    <n v="84.96"/>
    <s v=""/>
    <x v="1"/>
  </r>
  <r>
    <s v="171-3733329-6916359"/>
    <d v="2021-12-10T00:00:00"/>
    <x v="8"/>
    <s v="Shahin"/>
    <s v="MUMBAI"/>
    <s v="MAHARASHTRA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171-7361479-0297146"/>
    <d v="2021-12-10T00:00:00"/>
    <x v="8"/>
    <s v="Amol"/>
    <s v="PUNE"/>
    <s v="MAHARASHTRA"/>
    <s v="SKU:  DN-0WDX-VYOT"/>
    <s v="Women's Set of 5 Multicolor Pure Leather Single Lipstick Cases with Mirror Handy and Compact Handcrafted Shantiniketan Block Printed Jewelry Boxes"/>
    <s v="4"/>
    <x v="18"/>
    <n v="84.96"/>
    <s v=""/>
    <x v="0"/>
  </r>
  <r>
    <s v="408-9200041-8517139"/>
    <d v="2021-12-02T00:00:00"/>
    <x v="8"/>
    <s v="ROHIT"/>
    <s v="SECUNDERABAD"/>
    <s v="TELANGANA"/>
    <s v="SKU:  CR-6E69-UXFW"/>
    <s v="Bright and Colorful Shantiniketan Leather Elephant Piggy Coin Bank for Kids/Adults | Light-Weight Handcrafted Elephant Shaped Money Bank (Black Large"/>
    <s v="1"/>
    <x v="0"/>
    <n v="84.96"/>
    <s v=""/>
    <x v="0"/>
  </r>
  <r>
    <s v="408-3276798-6731502"/>
    <d v="2021-11-30T00:00:00"/>
    <x v="2"/>
    <s v="Kumar"/>
    <s v="BENGALURU"/>
    <s v="KARNATAKA"/>
    <s v="SKU:  NN-AGEZ-5DUM"/>
    <s v="Colourful and Bright Peacock Shaped Piggy Coin Bank | Block Printed West Bengal's 100% Leather Handicrafts (Shantiniketan Art) | Money Bank for Kids |"/>
    <s v="1"/>
    <x v="0"/>
    <n v="84.96"/>
    <s v=""/>
    <x v="0"/>
  </r>
  <r>
    <s v="405-7588425-0136360"/>
    <d v="2021-12-04T00:00:00"/>
    <x v="8"/>
    <s v="Gargi"/>
    <s v="Kolkata"/>
    <s v="WEST BENGAL"/>
    <s v="SKU:  NV-1DWM-41VX"/>
    <s v="Bright &amp; Colorful Shantiniketan Leather Piggy Bank for Kids/Adults | Light-Weight Handcrafted Owl Shaped Coin Bank (Red)"/>
    <s v="1"/>
    <x v="7"/>
    <n v="47.2"/>
    <s v=""/>
    <x v="0"/>
  </r>
  <r>
    <s v="406-6034782-6293117"/>
    <d v="2021-12-31T00:00:00"/>
    <x v="8"/>
    <s v="NANDINI"/>
    <s v="KOLKATA"/>
    <s v="WEST BENGAL"/>
    <s v="SKU:  W4-JQ2J-ZUF2"/>
    <s v="100% Pure Leather Shantiniketan Clutch Purse: Traditional Block Print Bi-color Women's Wallets with Multiple Pockets and Zipper Compartments (1 pc) (O"/>
    <s v="1"/>
    <x v="4"/>
    <n v="47.2"/>
    <s v=""/>
    <x v="0"/>
  </r>
  <r>
    <s v="403-1376026-4537157"/>
    <d v="2021-01-30T00:00:00"/>
    <x v="7"/>
    <s v="ONGC"/>
    <s v="VADODARA"/>
    <s v="GUJARAT"/>
    <s v="SKU:  5B-NW9K-L3AO"/>
    <s v="Bright and Colorful Shantiniketan Leather Elephant Piggy Coin Bank for Kids/Adults | Light-Weight Handcrafted Elephant Shaped Money Bank (Red Small)"/>
    <s v="1"/>
    <x v="10"/>
    <n v="84.96"/>
    <s v=""/>
    <x v="0"/>
  </r>
  <r>
    <s v="402-3108828-3083537"/>
    <d v="2021-12-29T00:00:00"/>
    <x v="8"/>
    <s v="RAJAT"/>
    <s v="PUNJAB"/>
    <s v="MOHALI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171-5110229-2797921"/>
    <d v="2021-01-16T00:00:00"/>
    <x v="7"/>
    <s v="ria"/>
    <s v="KOLKATA"/>
    <s v="WEST BENGAL"/>
    <s v="SKU:  3F-4R9N-Z8NJ"/>
    <s v="Set of 3 Pure Leather Block Print Round Jewelry Boxes | Button Closure Multiple Utility Case (Shantiniketan Handicrafts) (Yellow)"/>
    <s v="1"/>
    <x v="14"/>
    <n v="47.2"/>
    <s v=""/>
    <x v="0"/>
  </r>
  <r>
    <s v="171-1659664-7877932"/>
    <d v="2021-02-23T00:00:00"/>
    <x v="6"/>
    <s v="Saba"/>
    <s v="AMROHA"/>
    <s v="UTTAR PRADESH"/>
    <s v="SKU:  CR-6E69-UXFW"/>
    <s v="Bright and Colorful Shantiniketan Leather Elephant Piggy Coin Bank for Kids/Adults | Light-Weight Handcrafted Elephant Shaped Money Bank (Black Large"/>
    <s v="1"/>
    <x v="0"/>
    <n v="84.96"/>
    <s v="Cash On Delivery"/>
    <x v="0"/>
  </r>
  <r>
    <s v="404-5325305-3342738"/>
    <d v="2021-12-09T00:00:00"/>
    <x v="8"/>
    <s v="Poonam"/>
    <s v="MUMBAI"/>
    <s v="MAHARASHTRA"/>
    <s v="SKU:  5B-NW9K-L3AO"/>
    <s v="Bright and Colorful Shantiniketan Leather Elephant Piggy Coin Bank for Kids/Adults | Light-Weight Handcrafted Elephant Shaped Money Bank (Red Small)"/>
    <s v="1"/>
    <x v="10"/>
    <n v="84.96"/>
    <s v=""/>
    <x v="0"/>
  </r>
  <r>
    <s v="408-4117801-6732368"/>
    <d v="2021-01-13T00:00:00"/>
    <x v="7"/>
    <s v="VAISHALI"/>
    <s v="LUCKNOW"/>
    <s v="UTTAR PRADESH"/>
    <s v="SKU:  PG-WS6J-89DG"/>
    <s v="Bright and Colorful Shantiniketan Leather Elephant Piggy Coin Bank for Kids/Adults | Light-Weight Handcrafted Elephant Shaped Money Bank (Blue Large)"/>
    <s v="1"/>
    <x v="0"/>
    <n v="84.96"/>
    <s v=""/>
    <x v="0"/>
  </r>
  <r>
    <s v="405-0409316-6263510"/>
    <d v="2021-12-20T00:00:00"/>
    <x v="8"/>
    <s v="Faruk"/>
    <s v="BURDWAN"/>
    <s v="WEST BENGAL"/>
    <s v="SKU:  3F-4R9N-Z8NJ"/>
    <s v="Set of 3 Pure Leather Block Print Round Jewelry Boxes | Button Closure Multiple Utility Case (Shantiniketan Handicrafts) (Yellow)"/>
    <s v="1"/>
    <x v="14"/>
    <n v="60.18"/>
    <s v=""/>
    <x v="0"/>
  </r>
  <r>
    <s v="407-0369001-6370762"/>
    <d v="2021-12-09T00:00:00"/>
    <x v="8"/>
    <s v="pavithra"/>
    <s v="chennai"/>
    <s v="TAMIL NADU"/>
    <s v="SKU:  G4-B5GQ-8V30"/>
    <s v="100% Pure Leather Shantiniketan Clutch Purse: Traditional Block Print Bi-color Women's Wallets with Multiple Pockets and Zipper Compartments (1 pc) (B"/>
    <s v="1"/>
    <x v="4"/>
    <n v="84.96"/>
    <s v=""/>
    <x v="0"/>
  </r>
  <r>
    <s v="402-1369108-5988348"/>
    <d v="2021-12-09T00:00:00"/>
    <x v="8"/>
    <s v="Mariatta"/>
    <s v="Kodambakkam Chennai"/>
    <s v="TAMIL NADU"/>
    <s v="SKU:  DN-0WDX-VYOT"/>
    <s v="Women's Set of 5 Multicolor Pure Leather Single Lipstick Cases with Mirror Handy and Compact Handcrafted Shantiniketan Block Printed Jewelry Boxes"/>
    <s v="1"/>
    <x v="0"/>
    <n v="84.96"/>
    <s v="Cash On Delivery"/>
    <x v="0"/>
  </r>
  <r>
    <s v="405-7352232-5348320"/>
    <d v="2021-12-19T00:00:00"/>
    <x v="8"/>
    <s v="DIVYA"/>
    <s v="BENGALURU"/>
    <s v="KARNATAKA"/>
    <s v="SKU:  DN-0WDX-VYOT"/>
    <s v="Women's Set of 5 Multicolor Pure Leather Single Lipstick Cases with Mirror Handy and Compact Handcrafted Shantiniketan Block Printed Jewelry Boxes"/>
    <s v="1"/>
    <x v="1"/>
    <n v="84.96"/>
    <s v=""/>
    <x v="1"/>
  </r>
  <r>
    <s v="171-8930811-8770760"/>
    <d v="2021-02-21T00:00:00"/>
    <x v="6"/>
    <s v="Shishir"/>
    <s v="ALLAHABAD"/>
    <s v="UTTAR PRADESH"/>
    <s v="SKU:  4V-I7XD-JQVR"/>
    <s v="Bright and Colorful Shantiniketan Leather Elephant Piggy Coin Bank for Kids/Adults | Light-Weight Handcrafted Elephant Shaped Money Bank (Black Small"/>
    <s v="1"/>
    <x v="10"/>
    <n v="60.18"/>
    <s v=""/>
    <x v="0"/>
  </r>
  <r>
    <s v="404-5892855-1521926"/>
    <d v="2021-12-15T00:00:00"/>
    <x v="8"/>
    <s v="veena"/>
    <s v="BENGALURU"/>
    <s v="KARNATAKA"/>
    <s v="SKU:  V6-VUWR-856W"/>
    <s v="Bright &amp; Colorful Shantiniketan Leather Piggy Bank for Kids/Adults | Light-Weight Handcrafted Owl Shaped Coin Bank (Black)"/>
    <s v="1"/>
    <x v="7"/>
    <n v="84.96"/>
    <s v=""/>
    <x v="0"/>
  </r>
  <r>
    <s v="403-0543607-1044310"/>
    <d v="2021-12-01T00:00:00"/>
    <x v="8"/>
    <s v="Gita"/>
    <s v="CHENNAI"/>
    <s v="TAMIL NADU"/>
    <s v="SKU:  CR-6E69-UXFW"/>
    <s v="Bright and Colorful Shantiniketan Leather Elephant Piggy Coin Bank for Kids/Adults | Light-Weight Handcrafted Elephant Shaped Money Bank (Black Large"/>
    <s v="1"/>
    <x v="0"/>
    <n v="84.96"/>
    <s v=""/>
    <x v="0"/>
  </r>
  <r>
    <s v="171-4338001-7654754"/>
    <d v="2021-12-09T00:00:00"/>
    <x v="8"/>
    <s v="srisoma"/>
    <s v="NEW DELHI"/>
    <s v="DELHI"/>
    <s v="SKU:  U1-8YOK-510E"/>
    <s v="100% Leather Cat Shaped Piggy Coin Bank | Block Printed West Bengal Handicrafts (Shantiniketan Art) | Money Bank for Kids | Children's Gift Ideas (Blu"/>
    <s v="1"/>
    <x v="0"/>
    <n v="84.96"/>
    <s v=""/>
    <x v="0"/>
  </r>
  <r>
    <s v="408-5721047-6522728"/>
    <d v="2021-12-12T00:00:00"/>
    <x v="8"/>
    <s v="Ashna"/>
    <s v="CHANDIGARH"/>
    <s v="CHANDIGARH"/>
    <s v="SKU:  DN-0WDX-VYOT"/>
    <s v="Women's Set of 5 Multicolor Pure Leather Single Lipstick Cases with Mirror Handy and Compact Handcrafted Shantiniketan Block Printed Jewelry Boxes"/>
    <s v="1"/>
    <x v="1"/>
    <n v="84.96"/>
    <s v=""/>
    <x v="0"/>
  </r>
  <r>
    <s v="402-5940762-2914747"/>
    <d v="2021-12-02T00:00:00"/>
    <x v="8"/>
    <s v="Swathi"/>
    <s v="Visakhapatnam"/>
    <s v="ANDHRA PRADESH"/>
    <s v="SKU:  0M-RFE6-443C"/>
    <s v="Set of 3 Pure Leather Block Print Round Jewelry Boxes | Button Closure Multiple Utility Case (Shantiniketan Handicrafts) (Green)"/>
    <s v="1"/>
    <x v="14"/>
    <n v="84.96"/>
    <s v=""/>
    <x v="0"/>
  </r>
  <r>
    <s v="407-6814126-3628337"/>
    <d v="2021-12-08T00:00:00"/>
    <x v="8"/>
    <s v="Aarti"/>
    <s v="BILIMORA"/>
    <s v="GUJARAT"/>
    <s v="SKU:  S1-A92Q-JU3X"/>
    <s v="100% Pure Leather Shantiniketan Clutch Purse: Traditional Block Print Bi-color Women's Wallets with Multiple Pockets and Zipper Compartments (1 pc) (G"/>
    <s v="1"/>
    <x v="4"/>
    <n v="84.96"/>
    <s v="Cash On Delivery"/>
    <x v="0"/>
  </r>
  <r>
    <s v="171-3007462-1281169"/>
    <d v="2021-02-17T00:00:00"/>
    <x v="6"/>
    <s v="Captain"/>
    <s v="KOLKATA"/>
    <s v="WEST BENGAL"/>
    <s v="SKU:  78-ZYA1-UMZH"/>
    <s v="Bright and Colorful Horse Shaped Piggy Coin Bank | Block Printed West Bengal's 100% Leather Handicrafts (Shantiniketan Art) | Money Bank for Kids | Ch"/>
    <s v="1"/>
    <x v="0"/>
    <n v="47.2"/>
    <s v="Cash On Delivery"/>
    <x v="0"/>
  </r>
  <r>
    <s v="403-8215280-0912306"/>
    <d v="2021-01-30T00:00:00"/>
    <x v="7"/>
    <s v="Gita"/>
    <s v="CHENNAI"/>
    <s v="TAMIL NADU"/>
    <s v="SKU:  CR-6E69-UXFW"/>
    <s v="Bright and Colorful Shantiniketan Leather Elephant Piggy Coin Bank for Kids/Adults | Light-Weight Handcrafted Elephant Shaped Money Bank (Black Large"/>
    <s v="1"/>
    <x v="1"/>
    <n v="84.96"/>
    <s v="Cash On Delivery"/>
    <x v="1"/>
  </r>
  <r>
    <s v="402-2278272-1998728"/>
    <d v="2021-12-10T00:00:00"/>
    <x v="8"/>
    <s v="Dalreen"/>
    <s v="BENGALURU"/>
    <s v="KARNATAKA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5-3911719-8266724"/>
    <d v="2021-12-01T00:00:00"/>
    <x v="8"/>
    <s v="ANIL"/>
    <s v="KANPUR"/>
    <s v="UTTAR PRADESH"/>
    <s v="SKU:  DN-0WDX-VYOT"/>
    <s v="Women's Set of 5 Multicolor Pure Leather Single Lipstick Cases with Mirror Handy and Compact Handcrafted Shantiniketan Block Printed Jewelry Boxes"/>
    <s v="1"/>
    <x v="0"/>
    <n v="84.96"/>
    <s v=""/>
    <x v="0"/>
  </r>
  <r>
    <s v="406-5755913-6641938"/>
    <d v="2021-02-17T00:00:00"/>
    <x v="6"/>
    <s v="Shikha"/>
    <s v="NAVI MUMBAI"/>
    <s v="MAHARASHTRA"/>
    <s v="SKU:  WR-ANCX-U28C"/>
    <s v="Bright and Colorful Shantiniketan Leather Elephant Piggy Coin Bank for Kids/Adults | Light-Weight Handcrafted Elephant Shaped Money Bank (Orange Larg"/>
    <s v="1"/>
    <x v="0"/>
    <n v="84.96"/>
    <s v=""/>
    <x v="0"/>
  </r>
  <r>
    <s v="171-7565385-5722750"/>
    <d v="2021-01-20T00:00:00"/>
    <x v="7"/>
    <s v="Vadim"/>
    <s v="NEW DELHI"/>
    <s v="DELHI"/>
    <s v="SKU:  2X-3C0F-KNJE"/>
    <s v="100% Leather Elephant Shaped Piggy Coin Bank | Block Printed West Bengal Handicrafts (Shantiniketan Art) | Money Bank for Kids | Children's Gift Ideas"/>
    <s v="1"/>
    <x v="0"/>
    <n v="84.96"/>
    <s v="Cash On Delivery"/>
    <x v="0"/>
  </r>
  <r>
    <s v="402-8044719-8889119"/>
    <d v="2021-12-04T00:00:00"/>
    <x v="8"/>
    <s v="Swathi"/>
    <s v="Visakhapatnam"/>
    <s v="ANDHRA PRADESH"/>
    <s v="SKU:  3F-4R9N-Z8NJ"/>
    <s v="Set of 2 Pure Leather Block Print Round Jewelry Boxes | Button Closure Multiple Utility Case (Shantiniketan Handicrafts) (Yellow)"/>
    <s v="1"/>
    <x v="4"/>
    <n v="84.96"/>
    <s v=""/>
    <x v="0"/>
  </r>
  <r>
    <s v="402-1808225-2809140"/>
    <d v="2021-12-25T00:00:00"/>
    <x v="8"/>
    <s v="User"/>
    <s v="Solan"/>
    <s v="Himachal Pradesh"/>
    <s v="SKU:  S1-A92Q-JU3X"/>
    <s v="100% Pure Leather Shantiniketan Clutch Purse: Traditional Block Print Bi-color Women's Wallets with Multiple Pockets and Zipper Compartments (1 pc) (G"/>
    <s v="1"/>
    <x v="4"/>
    <n v="84.96"/>
    <s v=""/>
    <x v="0"/>
  </r>
  <r>
    <s v="171-2829978-1258758"/>
    <d v="2021-12-13T00:00:00"/>
    <x v="8"/>
    <s v="Shahin"/>
    <s v="MUMBAI"/>
    <s v="MAHARASHTRA"/>
    <s v="SKU:  DN-0WDX-VYOT"/>
    <s v="Women's Set of 5 Multicolor Pure Leather Single Lipstick Cases with Mirror Handy and Compact Handcrafted Shantiniketan Block Printed Jewelry Boxes"/>
    <s v="3"/>
    <x v="12"/>
    <n v="84.96"/>
    <s v="Cash On Delivery"/>
    <x v="0"/>
  </r>
  <r>
    <s v="402-3045457-5360311"/>
    <d v="2021-12-01T00:00:00"/>
    <x v="8"/>
    <s v="Sharmistha"/>
    <s v="DEHRADUN"/>
    <s v="UTTARAKHAND"/>
    <s v="SKU:  SB-WDQN-SDN9"/>
    <s v="Traditional Block-Printed Women's 100% Pure Leather Shoulder Bag: Double Handle Red Handbag | Multi-pocket Shantiniketan Leather Bag for Women"/>
    <s v="1"/>
    <x v="9"/>
    <n v="114.46"/>
    <s v=""/>
    <x v="0"/>
  </r>
  <r>
    <s v="408-2260162-8323567"/>
    <d v="2021-12-09T00:00:00"/>
    <x v="8"/>
    <s v="shashank"/>
    <s v="Durg"/>
    <s v="CHHATTISGARH"/>
    <s v="SKU:  SB-WDQN-SDN9"/>
    <s v="Traditional Block-Printed Women's 100% Pure Leather Shoulder Bag: Double Handle Red Handbag | Multi-pocket Shantiniketan Leather Bag for Women"/>
    <s v="1"/>
    <x v="9"/>
    <n v="105.02"/>
    <s v=""/>
    <x v="0"/>
  </r>
  <r>
    <s v="403-5664951-8941100"/>
    <d v="2021-02-23T00:00:00"/>
    <x v="6"/>
    <s v="Jayeta"/>
    <s v="KOLKATA"/>
    <s v="WEST BENGAL"/>
    <s v="SKU:  N8-YFZF-P74I"/>
    <s v="Stylish and Sleek Multiple Pockets 100 Percent Leather Shoulder Bag Contemporary Indian Leather Handicrafts for Women (Yellow) (BL335)"/>
    <s v="1"/>
    <x v="16"/>
    <n v="80.239999999999995"/>
    <s v="Cash On Delivery"/>
    <x v="0"/>
  </r>
  <r>
    <s v="402-4845680-8041921"/>
    <d v="2021-12-26T00:00:00"/>
    <x v="8"/>
    <s v="Varun"/>
    <s v="MUMBAI"/>
    <s v="MAHARASHTRA"/>
    <s v="SKU:  2X-3C0F-KNJE"/>
    <s v="100% Leather Elephant Shaped Piggy Coin Bank | Block Printed West Bengal Handicrafts (Shantiniketan Art) | Money Bank for Kids | Children's Gift Ideas"/>
    <s v="1"/>
    <x v="0"/>
    <n v="84.96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4C78C-D28C-4195-97A8-08E89142B062}" name="Tabela dinâmica1" cacheId="40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B7:C17" firstHeaderRow="1" firstDataRow="1" firstDataCol="1"/>
  <pivotFields count="13">
    <pivotField compact="0" outline="0" showAll="0"/>
    <pivotField compact="0" numFmtId="14" outline="0" showAll="0"/>
    <pivotField axis="axisRow" compact="0" outline="0" showAll="0">
      <items count="10">
        <item x="7"/>
        <item x="6"/>
        <item x="4"/>
        <item x="0"/>
        <item x="5"/>
        <item x="3"/>
        <item x="1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0">
        <item x="8"/>
        <item x="3"/>
        <item x="6"/>
        <item x="10"/>
        <item x="4"/>
        <item x="0"/>
        <item x="14"/>
        <item x="13"/>
        <item x="7"/>
        <item x="5"/>
        <item x="11"/>
        <item x="17"/>
        <item x="2"/>
        <item x="9"/>
        <item x="12"/>
        <item x="16"/>
        <item x="18"/>
        <item x="15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item_total" fld="9" baseField="0" baseItem="0" numFmtId="164"/>
  </dataFields>
  <formats count="3">
    <format dxfId="21">
      <pivotArea outline="0" fieldPosition="0">
        <references count="1">
          <reference field="2" count="1" selected="0">
            <x v="4"/>
          </reference>
        </references>
      </pivotArea>
    </format>
    <format dxfId="22">
      <pivotArea outline="0" collapsedLevelsAreSubtotals="1" fieldPosition="0"/>
    </format>
    <format dxfId="23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4E70C-8467-437B-A91D-F4E3CC6A34FB}" name="Tabela dinâmica4" cacheId="40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BG21:BH24" firstHeaderRow="1" firstDataRow="1" firstDataCol="1"/>
  <pivotFields count="13">
    <pivotField compact="0" outline="0" showAll="0"/>
    <pivotField compact="0" numFmtId="14" outline="0" showAll="0"/>
    <pivotField compact="0" outline="0" showAll="0">
      <items count="10">
        <item x="7"/>
        <item x="6"/>
        <item x="4"/>
        <item x="0"/>
        <item x="5"/>
        <item x="3"/>
        <item x="1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0">
        <item x="8"/>
        <item x="3"/>
        <item x="6"/>
        <item x="10"/>
        <item x="4"/>
        <item x="0"/>
        <item x="14"/>
        <item x="13"/>
        <item x="7"/>
        <item x="5"/>
        <item x="11"/>
        <item x="17"/>
        <item x="2"/>
        <item x="9"/>
        <item x="12"/>
        <item x="16"/>
        <item x="18"/>
        <item x="15"/>
        <item x="1"/>
        <item t="default"/>
      </items>
    </pivotField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ntagem de order_status" fld="12" subtotal="count" baseField="0" baseItem="0"/>
  </dataFields>
  <formats count="4">
    <format dxfId="17">
      <pivotArea outline="0" fieldPosition="0">
        <references count="1">
          <reference field="12" count="1" selected="0">
            <x v="1"/>
          </reference>
        </references>
      </pivotArea>
    </format>
    <format dxfId="18">
      <pivotArea outline="0" fieldPosition="0">
        <references count="1">
          <reference field="12" count="1" selected="0">
            <x v="0"/>
          </reference>
        </references>
      </pivotArea>
    </format>
    <format dxfId="19">
      <pivotArea outline="0" collapsedLevelsAreSubtotals="1" fieldPosition="0"/>
    </format>
    <format dxfId="20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E6B7F-53BE-4D8E-9FCC-5E2F910A8DF9}" name="Tabela dinâmica3" cacheId="4067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1">
  <location ref="BG6:BH15" firstHeaderRow="1" firstDataRow="1" firstDataCol="1"/>
  <pivotFields count="13">
    <pivotField compact="0" outline="0" showAll="0"/>
    <pivotField compact="0" numFmtId="14" outline="0" showAll="0"/>
    <pivotField axis="axisRow" compact="0" outline="0" showAll="0">
      <items count="10">
        <item x="7"/>
        <item x="6"/>
        <item x="4"/>
        <item x="0"/>
        <item x="5"/>
        <item x="3"/>
        <item x="1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0">
        <item x="8"/>
        <item x="3"/>
        <item x="6"/>
        <item x="10"/>
        <item x="4"/>
        <item x="0"/>
        <item x="14"/>
        <item x="13"/>
        <item x="7"/>
        <item x="5"/>
        <item x="11"/>
        <item x="17"/>
        <item x="2"/>
        <item x="9"/>
        <item x="12"/>
        <item x="16"/>
        <item x="18"/>
        <item x="15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oma de item_total" fld="9" baseField="0" baseItem="0" numFmtId="164"/>
  </dataFields>
  <formats count="2"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s1" xr10:uid="{963473A9-0740-468B-AB5A-868CA34498AC}" sourceName="months ">
  <pivotTables>
    <pivotTable tabId="2" name="Tabela dinâmica3"/>
    <pivotTable tabId="2" name="Tabela dinâmica4"/>
  </pivotTables>
  <data>
    <tabular pivotCacheId="1392534819">
      <items count="9">
        <i x="5" s="1"/>
        <i x="8" s="1"/>
        <i x="6" s="1"/>
        <i x="7" s="1"/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s  1" xr10:uid="{36A1AEED-16AC-43DE-B03E-0D6EDE4D9EE1}" cache="SegmentaçãodeDados_months1" caption="months " style="SlicerStyleOther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41528-AA5A-4E9A-8941-A3B432D062C3}" name="Tabela1" displayName="Tabela1" ref="A1:M172" totalsRowShown="0" headerRowDxfId="14" headerRowCellStyle="Normal 2" dataCellStyle="Normal 2">
  <autoFilter ref="A1:M172" xr:uid="{9B841528-AA5A-4E9A-8941-A3B432D062C3}"/>
  <tableColumns count="13">
    <tableColumn id="1" xr3:uid="{24383767-EC22-4DCD-8D17-DA45E55908D5}" name="order_no" dataDxfId="13" dataCellStyle="Normal 2"/>
    <tableColumn id="17" xr3:uid="{298919A8-0863-46F5-B1EC-EC20675B3EED}" name="order_date" dataDxfId="12" dataCellStyle="Normal 2"/>
    <tableColumn id="2" xr3:uid="{8BB8BF2A-FB01-40C5-B4D8-DDA5156E51DC}" name="months " dataDxfId="11" dataCellStyle="Normal 2"/>
    <tableColumn id="3" xr3:uid="{0B1274E0-3687-43B0-8502-6F5E3EA3C607}" name="buyer" dataDxfId="10" dataCellStyle="Normal 2"/>
    <tableColumn id="4" xr3:uid="{C61E4B75-00D5-4DEF-A74F-9ACEC4CE4BBA}" name="ship_city" dataDxfId="9" dataCellStyle="Normal 2"/>
    <tableColumn id="5" xr3:uid="{1A7D943E-7A5D-4458-994E-ACC6A37118DC}" name="ship_state" dataDxfId="8" dataCellStyle="Normal 2"/>
    <tableColumn id="6" xr3:uid="{550D5621-3729-4C3A-82A1-9AA9B9075E3F}" name="sku" dataDxfId="7" dataCellStyle="Normal 2"/>
    <tableColumn id="7" xr3:uid="{145265A9-AFB6-4284-A092-F7693F8A675E}" name="description" dataDxfId="6" dataCellStyle="Normal 2"/>
    <tableColumn id="8" xr3:uid="{A20F677A-EB30-4EEF-8075-AEA4167C6E56}" name="quantity" dataDxfId="5" dataCellStyle="Normal 2"/>
    <tableColumn id="9" xr3:uid="{2A4CCF82-88E8-460C-96D1-1C7F03EA21D9}" name="item_total" dataDxfId="4" dataCellStyle="Normal 2"/>
    <tableColumn id="10" xr3:uid="{6E1BBBFC-95CC-44C2-B609-903F7A47C122}" name="shipping_fee" dataDxfId="3" dataCellStyle="Normal 2"/>
    <tableColumn id="11" xr3:uid="{B698E4FF-4C4E-42DC-AFBA-6A77479F8895}" name="cod" dataDxfId="2" dataCellStyle="Normal 2"/>
    <tableColumn id="12" xr3:uid="{8588D543-5B57-4A2B-A84A-EEA9954C2030}" name="order_status" dataDxfId="1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98B32-4E7F-4833-A7F0-D90F667ED09A}" name="Tabela2" displayName="Tabela2" ref="A3:M49" totalsRowShown="0">
  <autoFilter ref="A3:M49" xr:uid="{DAD98B32-4E7F-4833-A7F0-D90F667ED09A}"/>
  <tableColumns count="13">
    <tableColumn id="1" xr3:uid="{2A0CE4F6-CF4A-4D3E-AED5-E9B8E868B349}" name="order_no"/>
    <tableColumn id="2" xr3:uid="{B1F17F9F-C3C7-4DBE-82F6-1EBC0D5B59F8}" name="order_date" dataDxfId="0"/>
    <tableColumn id="3" xr3:uid="{57BA1E37-0376-4609-9678-7EE0D4736430}" name="months "/>
    <tableColumn id="4" xr3:uid="{635127F7-23E9-4564-A154-80416DC338B6}" name="buyer"/>
    <tableColumn id="5" xr3:uid="{B95BD72A-A910-4B7C-8D78-C7B93E859E86}" name="ship_city"/>
    <tableColumn id="6" xr3:uid="{EB365FE9-1E52-49A8-9B2F-07CD02EB0FD5}" name="ship_state"/>
    <tableColumn id="7" xr3:uid="{AE964521-AD95-4B8A-8713-1791EEFE44B4}" name="sku"/>
    <tableColumn id="8" xr3:uid="{0E3926B6-2951-4752-85C9-2E70015BC97E}" name="description"/>
    <tableColumn id="9" xr3:uid="{4627C84E-AF6E-4833-941A-DA3F84C1DBC1}" name="quantity"/>
    <tableColumn id="10" xr3:uid="{720DCE29-E80E-4EB6-94F9-DDC84DDF5C74}" name="item_total"/>
    <tableColumn id="11" xr3:uid="{768D3908-DC29-4D71-8350-9FA9FF075BEC}" name="shipping_fee"/>
    <tableColumn id="12" xr3:uid="{E3611981-EDF2-4BD0-85AD-40B0601B0A21}" name="cod"/>
    <tableColumn id="13" xr3:uid="{40D525CA-235A-4D4E-9625-215DB21FDBE0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7D14-24E9-4389-BE18-554D0FE39639}">
  <dimension ref="B2:H10"/>
  <sheetViews>
    <sheetView workbookViewId="0">
      <selection activeCell="B4" sqref="B4"/>
    </sheetView>
  </sheetViews>
  <sheetFormatPr defaultRowHeight="15"/>
  <cols>
    <col min="2" max="2" width="17.85546875" bestFit="1" customWidth="1"/>
  </cols>
  <sheetData>
    <row r="2" spans="2:8">
      <c r="B2" s="2" t="s">
        <v>0</v>
      </c>
      <c r="C2" s="2"/>
      <c r="D2" s="2"/>
      <c r="E2" s="2"/>
      <c r="F2" s="2"/>
      <c r="G2" s="2"/>
      <c r="H2" s="2"/>
    </row>
    <row r="4" spans="2:8" ht="31.5">
      <c r="B4" s="12" t="s">
        <v>1</v>
      </c>
      <c r="C4" s="11"/>
    </row>
    <row r="10" spans="2:8">
      <c r="B10" s="2" t="s">
        <v>2</v>
      </c>
      <c r="C10" s="2"/>
      <c r="D10" s="2"/>
      <c r="E10" s="2"/>
      <c r="F10" s="2"/>
      <c r="G10" s="2"/>
      <c r="H1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workbookViewId="0">
      <selection sqref="A1:M172"/>
    </sheetView>
  </sheetViews>
  <sheetFormatPr defaultRowHeight="15"/>
  <cols>
    <col min="1" max="1" width="22" bestFit="1" customWidth="1"/>
    <col min="2" max="2" width="13.85546875" style="7" bestFit="1" customWidth="1"/>
    <col min="3" max="3" width="13.85546875" style="8" customWidth="1"/>
    <col min="4" max="4" width="18.28515625" bestFit="1" customWidth="1"/>
    <col min="5" max="5" width="26.7109375" bestFit="1" customWidth="1"/>
    <col min="6" max="6" width="22.42578125" bestFit="1" customWidth="1"/>
    <col min="7" max="7" width="22.140625" bestFit="1" customWidth="1"/>
    <col min="8" max="8" width="30.7109375" bestFit="1" customWidth="1"/>
    <col min="9" max="9" width="11.140625" bestFit="1" customWidth="1"/>
    <col min="10" max="10" width="13.140625" style="4" bestFit="1" customWidth="1"/>
    <col min="11" max="11" width="15.28515625" style="4" bestFit="1" customWidth="1"/>
    <col min="12" max="12" width="19" bestFit="1" customWidth="1"/>
    <col min="13" max="13" width="18.28515625" bestFit="1" customWidth="1"/>
  </cols>
  <sheetData>
    <row r="1" spans="1:13" ht="15.75">
      <c r="A1" s="1" t="s">
        <v>3</v>
      </c>
      <c r="B1" s="6" t="s">
        <v>4</v>
      </c>
      <c r="C1" s="9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3" t="s">
        <v>12</v>
      </c>
      <c r="K1" s="3" t="s">
        <v>13</v>
      </c>
      <c r="L1" s="1" t="s">
        <v>14</v>
      </c>
      <c r="M1" s="1" t="s">
        <v>15</v>
      </c>
    </row>
    <row r="2" spans="1:13" ht="15.75">
      <c r="A2" s="1" t="s">
        <v>16</v>
      </c>
      <c r="B2" s="6">
        <v>44395</v>
      </c>
      <c r="C2" s="9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3">
        <v>449</v>
      </c>
      <c r="K2" s="3" t="s">
        <v>23</v>
      </c>
      <c r="L2" s="1" t="s">
        <v>23</v>
      </c>
      <c r="M2" s="1" t="s">
        <v>24</v>
      </c>
    </row>
    <row r="3" spans="1:13" ht="15.75">
      <c r="A3" s="1" t="s">
        <v>25</v>
      </c>
      <c r="B3" s="6">
        <v>44488</v>
      </c>
      <c r="C3" s="9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22</v>
      </c>
      <c r="J3" s="3">
        <v>449</v>
      </c>
      <c r="K3" s="3">
        <v>60.18</v>
      </c>
      <c r="L3" s="1" t="s">
        <v>23</v>
      </c>
      <c r="M3" s="1" t="s">
        <v>24</v>
      </c>
    </row>
    <row r="4" spans="1:13" ht="15.75">
      <c r="A4" s="1" t="s">
        <v>32</v>
      </c>
      <c r="B4" s="6">
        <v>44528</v>
      </c>
      <c r="C4" s="9" t="s">
        <v>33</v>
      </c>
      <c r="D4" s="1" t="s">
        <v>34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22</v>
      </c>
      <c r="J4" s="3">
        <v>449</v>
      </c>
      <c r="K4" s="3">
        <v>60.18</v>
      </c>
      <c r="L4" s="1" t="s">
        <v>23</v>
      </c>
      <c r="M4" s="1" t="s">
        <v>24</v>
      </c>
    </row>
    <row r="5" spans="1:13" ht="15.75">
      <c r="A5" s="1" t="s">
        <v>35</v>
      </c>
      <c r="B5" s="6">
        <v>44405</v>
      </c>
      <c r="C5" s="9" t="s">
        <v>17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22</v>
      </c>
      <c r="J5" s="3" t="s">
        <v>23</v>
      </c>
      <c r="K5" s="3" t="s">
        <v>23</v>
      </c>
      <c r="L5" s="1" t="s">
        <v>41</v>
      </c>
      <c r="M5" s="1" t="s">
        <v>24</v>
      </c>
    </row>
    <row r="6" spans="1:13" ht="15.75">
      <c r="A6" s="1" t="s">
        <v>42</v>
      </c>
      <c r="B6" s="6">
        <v>44467</v>
      </c>
      <c r="C6" s="9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22</v>
      </c>
      <c r="J6" s="3">
        <v>1099</v>
      </c>
      <c r="K6" s="3">
        <v>84.96</v>
      </c>
      <c r="L6" s="1" t="s">
        <v>23</v>
      </c>
      <c r="M6" s="1" t="s">
        <v>24</v>
      </c>
    </row>
    <row r="7" spans="1:13" ht="15.75">
      <c r="A7" s="1" t="s">
        <v>49</v>
      </c>
      <c r="B7" s="6">
        <v>44364</v>
      </c>
      <c r="C7" s="9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22</v>
      </c>
      <c r="J7" s="3">
        <v>200</v>
      </c>
      <c r="K7" s="3" t="s">
        <v>23</v>
      </c>
      <c r="L7" s="1" t="s">
        <v>23</v>
      </c>
      <c r="M7" s="1" t="s">
        <v>24</v>
      </c>
    </row>
    <row r="8" spans="1:13" ht="15.75">
      <c r="A8" s="1" t="s">
        <v>56</v>
      </c>
      <c r="B8" s="6">
        <v>44420</v>
      </c>
      <c r="C8" s="9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22</v>
      </c>
      <c r="J8" s="3" t="s">
        <v>23</v>
      </c>
      <c r="K8" s="3" t="s">
        <v>23</v>
      </c>
      <c r="L8" s="1" t="s">
        <v>41</v>
      </c>
      <c r="M8" s="1" t="s">
        <v>63</v>
      </c>
    </row>
    <row r="9" spans="1:13" ht="15.75">
      <c r="A9" s="1" t="s">
        <v>64</v>
      </c>
      <c r="B9" s="6">
        <v>44468</v>
      </c>
      <c r="C9" s="9" t="s">
        <v>43</v>
      </c>
      <c r="D9" s="1" t="s">
        <v>65</v>
      </c>
      <c r="E9" s="1" t="s">
        <v>66</v>
      </c>
      <c r="F9" s="1" t="s">
        <v>60</v>
      </c>
      <c r="G9" s="1" t="s">
        <v>67</v>
      </c>
      <c r="H9" s="1" t="s">
        <v>68</v>
      </c>
      <c r="I9" s="1" t="s">
        <v>22</v>
      </c>
      <c r="J9" s="3">
        <v>399</v>
      </c>
      <c r="K9" s="3">
        <v>84.96</v>
      </c>
      <c r="L9" s="1" t="s">
        <v>41</v>
      </c>
      <c r="M9" s="1" t="s">
        <v>24</v>
      </c>
    </row>
    <row r="10" spans="1:13" ht="15.75">
      <c r="A10" s="1" t="s">
        <v>69</v>
      </c>
      <c r="B10" s="6">
        <v>44513</v>
      </c>
      <c r="C10" s="9" t="s">
        <v>33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22</v>
      </c>
      <c r="J10" s="3">
        <v>399</v>
      </c>
      <c r="K10" s="3">
        <v>84.96</v>
      </c>
      <c r="L10" s="1" t="s">
        <v>23</v>
      </c>
      <c r="M10" s="1" t="s">
        <v>24</v>
      </c>
    </row>
    <row r="11" spans="1:13" ht="15.75">
      <c r="A11" s="1" t="s">
        <v>75</v>
      </c>
      <c r="B11" s="6">
        <v>44417</v>
      </c>
      <c r="C11" s="9" t="s">
        <v>57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80</v>
      </c>
      <c r="I11" s="1" t="s">
        <v>22</v>
      </c>
      <c r="J11" s="3">
        <v>1099</v>
      </c>
      <c r="K11" s="3" t="s">
        <v>23</v>
      </c>
      <c r="L11" s="1" t="s">
        <v>23</v>
      </c>
      <c r="M11" s="1" t="s">
        <v>24</v>
      </c>
    </row>
    <row r="12" spans="1:13" ht="15.75">
      <c r="A12" s="1" t="s">
        <v>81</v>
      </c>
      <c r="B12" s="6">
        <v>44443</v>
      </c>
      <c r="C12" s="9" t="s">
        <v>43</v>
      </c>
      <c r="D12" s="1" t="s">
        <v>82</v>
      </c>
      <c r="E12" s="1" t="s">
        <v>83</v>
      </c>
      <c r="F12" s="1" t="s">
        <v>84</v>
      </c>
      <c r="G12" s="1" t="s">
        <v>20</v>
      </c>
      <c r="H12" s="1" t="s">
        <v>21</v>
      </c>
      <c r="I12" s="1" t="s">
        <v>22</v>
      </c>
      <c r="J12" s="3">
        <v>449</v>
      </c>
      <c r="K12" s="3">
        <v>114.46</v>
      </c>
      <c r="L12" s="1" t="s">
        <v>23</v>
      </c>
      <c r="M12" s="1" t="s">
        <v>24</v>
      </c>
    </row>
    <row r="13" spans="1:13" ht="15.75">
      <c r="A13" s="1" t="s">
        <v>85</v>
      </c>
      <c r="B13" s="6">
        <v>44516</v>
      </c>
      <c r="C13" s="9" t="s">
        <v>33</v>
      </c>
      <c r="D13" s="1" t="s">
        <v>86</v>
      </c>
      <c r="E13" s="1" t="s">
        <v>87</v>
      </c>
      <c r="F13" s="1" t="s">
        <v>88</v>
      </c>
      <c r="G13" s="1" t="s">
        <v>30</v>
      </c>
      <c r="H13" s="1" t="s">
        <v>31</v>
      </c>
      <c r="I13" s="1" t="s">
        <v>22</v>
      </c>
      <c r="J13" s="3">
        <v>449</v>
      </c>
      <c r="K13" s="3">
        <v>60.18</v>
      </c>
      <c r="L13" s="1" t="s">
        <v>23</v>
      </c>
      <c r="M13" s="1" t="s">
        <v>24</v>
      </c>
    </row>
    <row r="14" spans="1:13" ht="15.75">
      <c r="A14" s="1" t="s">
        <v>89</v>
      </c>
      <c r="B14" s="6">
        <v>44485</v>
      </c>
      <c r="C14" s="9" t="s">
        <v>26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22</v>
      </c>
      <c r="J14" s="3">
        <v>449</v>
      </c>
      <c r="K14" s="3">
        <v>84.96</v>
      </c>
      <c r="L14" s="1" t="s">
        <v>41</v>
      </c>
      <c r="M14" s="1" t="s">
        <v>24</v>
      </c>
    </row>
    <row r="15" spans="1:13" ht="15.75">
      <c r="A15" s="1" t="s">
        <v>95</v>
      </c>
      <c r="B15" s="6">
        <v>44473</v>
      </c>
      <c r="C15" s="9" t="s">
        <v>26</v>
      </c>
      <c r="D15" s="1" t="s">
        <v>96</v>
      </c>
      <c r="E15" s="1" t="s">
        <v>97</v>
      </c>
      <c r="F15" s="1" t="s">
        <v>46</v>
      </c>
      <c r="G15" s="1" t="s">
        <v>98</v>
      </c>
      <c r="H15" s="1" t="s">
        <v>99</v>
      </c>
      <c r="I15" s="1" t="s">
        <v>22</v>
      </c>
      <c r="J15" s="3">
        <v>1099</v>
      </c>
      <c r="K15" s="3">
        <v>84.96</v>
      </c>
      <c r="L15" s="1" t="s">
        <v>23</v>
      </c>
      <c r="M15" s="1" t="s">
        <v>24</v>
      </c>
    </row>
    <row r="16" spans="1:13" ht="15.75">
      <c r="A16" s="1" t="s">
        <v>100</v>
      </c>
      <c r="B16" s="6">
        <v>44483</v>
      </c>
      <c r="C16" s="9" t="s">
        <v>26</v>
      </c>
      <c r="D16" s="1" t="s">
        <v>101</v>
      </c>
      <c r="E16" s="1" t="s">
        <v>102</v>
      </c>
      <c r="F16" s="1" t="s">
        <v>46</v>
      </c>
      <c r="G16" s="1" t="s">
        <v>103</v>
      </c>
      <c r="H16" s="1" t="s">
        <v>104</v>
      </c>
      <c r="I16" s="1" t="s">
        <v>22</v>
      </c>
      <c r="J16" s="3" t="s">
        <v>23</v>
      </c>
      <c r="K16" s="3">
        <v>84.96</v>
      </c>
      <c r="L16" s="1" t="s">
        <v>41</v>
      </c>
      <c r="M16" s="1" t="s">
        <v>63</v>
      </c>
    </row>
    <row r="17" spans="1:13" ht="15.75">
      <c r="A17" s="1" t="s">
        <v>105</v>
      </c>
      <c r="B17" s="6">
        <v>44444</v>
      </c>
      <c r="C17" s="9" t="s">
        <v>43</v>
      </c>
      <c r="D17" s="1" t="s">
        <v>106</v>
      </c>
      <c r="E17" s="1" t="s">
        <v>107</v>
      </c>
      <c r="F17" s="1" t="s">
        <v>53</v>
      </c>
      <c r="G17" s="1" t="s">
        <v>47</v>
      </c>
      <c r="H17" s="1" t="s">
        <v>48</v>
      </c>
      <c r="I17" s="1" t="s">
        <v>22</v>
      </c>
      <c r="J17" s="3">
        <v>1099</v>
      </c>
      <c r="K17" s="3">
        <v>62.54</v>
      </c>
      <c r="L17" s="1" t="s">
        <v>23</v>
      </c>
      <c r="M17" s="1" t="s">
        <v>24</v>
      </c>
    </row>
    <row r="18" spans="1:13" ht="15.75">
      <c r="A18" s="1" t="s">
        <v>108</v>
      </c>
      <c r="B18" s="6">
        <v>44433</v>
      </c>
      <c r="C18" s="9" t="s">
        <v>57</v>
      </c>
      <c r="D18" s="1" t="s">
        <v>109</v>
      </c>
      <c r="E18" s="1" t="s">
        <v>110</v>
      </c>
      <c r="F18" s="1" t="s">
        <v>72</v>
      </c>
      <c r="G18" s="1" t="s">
        <v>61</v>
      </c>
      <c r="H18" s="1" t="s">
        <v>62</v>
      </c>
      <c r="I18" s="1" t="s">
        <v>22</v>
      </c>
      <c r="J18" s="3">
        <v>649</v>
      </c>
      <c r="K18" s="3">
        <v>81.42</v>
      </c>
      <c r="L18" s="1" t="s">
        <v>41</v>
      </c>
      <c r="M18" s="1" t="s">
        <v>24</v>
      </c>
    </row>
    <row r="19" spans="1:13" ht="15.75">
      <c r="A19" s="1" t="s">
        <v>111</v>
      </c>
      <c r="B19" s="6">
        <v>44527</v>
      </c>
      <c r="C19" s="9" t="s">
        <v>33</v>
      </c>
      <c r="D19" s="1" t="s">
        <v>112</v>
      </c>
      <c r="E19" s="1" t="s">
        <v>45</v>
      </c>
      <c r="F19" s="1" t="s">
        <v>46</v>
      </c>
      <c r="G19" s="1" t="s">
        <v>113</v>
      </c>
      <c r="H19" s="1" t="s">
        <v>114</v>
      </c>
      <c r="I19" s="1" t="s">
        <v>22</v>
      </c>
      <c r="J19" s="3">
        <v>449</v>
      </c>
      <c r="K19" s="3">
        <v>84.96</v>
      </c>
      <c r="L19" s="1" t="s">
        <v>23</v>
      </c>
      <c r="M19" s="1" t="s">
        <v>24</v>
      </c>
    </row>
    <row r="20" spans="1:13" ht="15.75">
      <c r="A20" s="1" t="s">
        <v>115</v>
      </c>
      <c r="B20" s="6">
        <v>44521</v>
      </c>
      <c r="C20" s="9" t="s">
        <v>33</v>
      </c>
      <c r="D20" s="1" t="s">
        <v>116</v>
      </c>
      <c r="E20" s="1" t="s">
        <v>117</v>
      </c>
      <c r="F20" s="1" t="s">
        <v>38</v>
      </c>
      <c r="G20" s="1" t="s">
        <v>118</v>
      </c>
      <c r="H20" s="1" t="s">
        <v>119</v>
      </c>
      <c r="I20" s="1" t="s">
        <v>22</v>
      </c>
      <c r="J20" s="3">
        <v>399</v>
      </c>
      <c r="K20" s="3">
        <v>84.96</v>
      </c>
      <c r="L20" s="1" t="s">
        <v>23</v>
      </c>
      <c r="M20" s="1" t="s">
        <v>24</v>
      </c>
    </row>
    <row r="21" spans="1:13" ht="15.75">
      <c r="A21" s="1" t="s">
        <v>120</v>
      </c>
      <c r="B21" s="6">
        <v>44470</v>
      </c>
      <c r="C21" s="9" t="s">
        <v>26</v>
      </c>
      <c r="D21" s="1" t="s">
        <v>121</v>
      </c>
      <c r="E21" s="1" t="s">
        <v>45</v>
      </c>
      <c r="F21" s="1" t="s">
        <v>46</v>
      </c>
      <c r="G21" s="1" t="s">
        <v>67</v>
      </c>
      <c r="H21" s="1" t="s">
        <v>68</v>
      </c>
      <c r="I21" s="1" t="s">
        <v>22</v>
      </c>
      <c r="J21" s="3">
        <v>399</v>
      </c>
      <c r="K21" s="3">
        <v>84.96</v>
      </c>
      <c r="L21" s="1" t="s">
        <v>41</v>
      </c>
      <c r="M21" s="1" t="s">
        <v>24</v>
      </c>
    </row>
    <row r="22" spans="1:13" ht="15.75">
      <c r="A22" s="1" t="s">
        <v>122</v>
      </c>
      <c r="B22" s="6">
        <v>44449</v>
      </c>
      <c r="C22" s="9" t="s">
        <v>43</v>
      </c>
      <c r="D22" s="1" t="s">
        <v>123</v>
      </c>
      <c r="E22" s="1" t="s">
        <v>124</v>
      </c>
      <c r="F22" s="1" t="s">
        <v>46</v>
      </c>
      <c r="G22" s="1" t="s">
        <v>125</v>
      </c>
      <c r="H22" s="1" t="s">
        <v>126</v>
      </c>
      <c r="I22" s="1" t="s">
        <v>22</v>
      </c>
      <c r="J22" s="3">
        <v>399</v>
      </c>
      <c r="K22" s="3">
        <v>84.96</v>
      </c>
      <c r="L22" s="1"/>
      <c r="M22" s="1" t="s">
        <v>24</v>
      </c>
    </row>
    <row r="23" spans="1:13" ht="15.75">
      <c r="A23" s="1" t="s">
        <v>127</v>
      </c>
      <c r="B23" s="6">
        <v>44510</v>
      </c>
      <c r="C23" s="9" t="s">
        <v>33</v>
      </c>
      <c r="D23" s="1" t="s">
        <v>128</v>
      </c>
      <c r="E23" s="1" t="s">
        <v>129</v>
      </c>
      <c r="F23" s="1" t="s">
        <v>130</v>
      </c>
      <c r="G23" s="1" t="s">
        <v>30</v>
      </c>
      <c r="H23" s="1" t="s">
        <v>31</v>
      </c>
      <c r="I23" s="1" t="s">
        <v>22</v>
      </c>
      <c r="J23" s="3">
        <v>449</v>
      </c>
      <c r="K23" s="3">
        <v>60.18</v>
      </c>
      <c r="L23" s="1" t="s">
        <v>23</v>
      </c>
      <c r="M23" s="1" t="s">
        <v>24</v>
      </c>
    </row>
    <row r="24" spans="1:13" ht="15.75">
      <c r="A24" s="1" t="s">
        <v>131</v>
      </c>
      <c r="B24" s="6">
        <v>44526</v>
      </c>
      <c r="C24" s="9" t="s">
        <v>33</v>
      </c>
      <c r="D24" s="1" t="s">
        <v>132</v>
      </c>
      <c r="E24" s="1" t="s">
        <v>133</v>
      </c>
      <c r="F24" s="1" t="s">
        <v>84</v>
      </c>
      <c r="G24" s="1" t="s">
        <v>30</v>
      </c>
      <c r="H24" s="1" t="s">
        <v>31</v>
      </c>
      <c r="I24" s="1" t="s">
        <v>22</v>
      </c>
      <c r="J24" s="3" t="s">
        <v>23</v>
      </c>
      <c r="K24" s="3">
        <v>84.96</v>
      </c>
      <c r="L24" s="1" t="s">
        <v>23</v>
      </c>
      <c r="M24" s="1" t="s">
        <v>63</v>
      </c>
    </row>
    <row r="25" spans="1:13" ht="15.75">
      <c r="A25" s="1" t="s">
        <v>134</v>
      </c>
      <c r="B25" s="6">
        <v>44489</v>
      </c>
      <c r="C25" s="9" t="s">
        <v>26</v>
      </c>
      <c r="D25" s="1" t="s">
        <v>135</v>
      </c>
      <c r="E25" s="1" t="s">
        <v>71</v>
      </c>
      <c r="F25" s="1" t="s">
        <v>72</v>
      </c>
      <c r="G25" s="1" t="s">
        <v>125</v>
      </c>
      <c r="H25" s="1" t="s">
        <v>126</v>
      </c>
      <c r="I25" s="1" t="s">
        <v>22</v>
      </c>
      <c r="J25" s="3">
        <v>399</v>
      </c>
      <c r="K25" s="3">
        <v>84.96</v>
      </c>
      <c r="L25" s="1" t="s">
        <v>23</v>
      </c>
      <c r="M25" s="1" t="s">
        <v>24</v>
      </c>
    </row>
    <row r="26" spans="1:13" ht="15.75">
      <c r="A26" s="1" t="s">
        <v>136</v>
      </c>
      <c r="B26" s="6">
        <v>44372</v>
      </c>
      <c r="C26" s="9" t="s">
        <v>50</v>
      </c>
      <c r="D26" s="1" t="s">
        <v>137</v>
      </c>
      <c r="E26" s="1" t="s">
        <v>45</v>
      </c>
      <c r="F26" s="1" t="s">
        <v>46</v>
      </c>
      <c r="G26" s="1" t="s">
        <v>138</v>
      </c>
      <c r="H26" s="1" t="s">
        <v>139</v>
      </c>
      <c r="I26" s="1" t="s">
        <v>22</v>
      </c>
      <c r="J26" s="3" t="s">
        <v>23</v>
      </c>
      <c r="K26" s="3" t="s">
        <v>23</v>
      </c>
      <c r="L26" s="1" t="s">
        <v>41</v>
      </c>
      <c r="M26" s="1" t="s">
        <v>63</v>
      </c>
    </row>
    <row r="27" spans="1:13" ht="15.75">
      <c r="A27" s="1" t="s">
        <v>140</v>
      </c>
      <c r="B27" s="6">
        <v>44445</v>
      </c>
      <c r="C27" s="9" t="s">
        <v>43</v>
      </c>
      <c r="D27" s="1" t="s">
        <v>141</v>
      </c>
      <c r="E27" s="1" t="s">
        <v>142</v>
      </c>
      <c r="F27" s="1" t="s">
        <v>130</v>
      </c>
      <c r="G27" s="1" t="s">
        <v>61</v>
      </c>
      <c r="H27" s="1" t="s">
        <v>62</v>
      </c>
      <c r="I27" s="1" t="s">
        <v>22</v>
      </c>
      <c r="J27" s="3">
        <v>649</v>
      </c>
      <c r="K27" s="3">
        <v>60.18</v>
      </c>
      <c r="L27" s="1" t="s">
        <v>41</v>
      </c>
      <c r="M27" s="1" t="s">
        <v>24</v>
      </c>
    </row>
    <row r="28" spans="1:13" ht="15.75">
      <c r="A28" s="1" t="s">
        <v>143</v>
      </c>
      <c r="B28" s="6">
        <v>44399</v>
      </c>
      <c r="C28" s="9" t="s">
        <v>17</v>
      </c>
      <c r="D28" s="1" t="s">
        <v>144</v>
      </c>
      <c r="E28" s="1" t="s">
        <v>145</v>
      </c>
      <c r="F28" s="1" t="s">
        <v>146</v>
      </c>
      <c r="G28" s="1" t="s">
        <v>39</v>
      </c>
      <c r="H28" s="1" t="s">
        <v>40</v>
      </c>
      <c r="I28" s="1" t="s">
        <v>22</v>
      </c>
      <c r="J28" s="3">
        <v>250</v>
      </c>
      <c r="K28" s="3" t="s">
        <v>23</v>
      </c>
      <c r="L28" s="1" t="s">
        <v>23</v>
      </c>
      <c r="M28" s="1" t="s">
        <v>24</v>
      </c>
    </row>
    <row r="29" spans="1:13" ht="15.75">
      <c r="A29" s="1" t="s">
        <v>147</v>
      </c>
      <c r="B29" s="6">
        <v>44498</v>
      </c>
      <c r="C29" s="9" t="s">
        <v>26</v>
      </c>
      <c r="D29" s="1" t="s">
        <v>148</v>
      </c>
      <c r="E29" s="1" t="s">
        <v>149</v>
      </c>
      <c r="F29" s="1" t="s">
        <v>46</v>
      </c>
      <c r="G29" s="1" t="s">
        <v>30</v>
      </c>
      <c r="H29" s="1" t="s">
        <v>31</v>
      </c>
      <c r="I29" s="1" t="s">
        <v>22</v>
      </c>
      <c r="J29" s="3">
        <v>449</v>
      </c>
      <c r="K29" s="3">
        <v>84.96</v>
      </c>
      <c r="L29" s="1" t="s">
        <v>41</v>
      </c>
      <c r="M29" s="1" t="s">
        <v>24</v>
      </c>
    </row>
    <row r="30" spans="1:13" ht="15.75">
      <c r="A30" s="1" t="s">
        <v>150</v>
      </c>
      <c r="B30" s="6">
        <v>44459</v>
      </c>
      <c r="C30" s="9" t="s">
        <v>43</v>
      </c>
      <c r="D30" s="1" t="s">
        <v>151</v>
      </c>
      <c r="E30" s="1" t="s">
        <v>152</v>
      </c>
      <c r="F30" s="1" t="s">
        <v>153</v>
      </c>
      <c r="G30" s="1" t="s">
        <v>154</v>
      </c>
      <c r="H30" s="1" t="s">
        <v>155</v>
      </c>
      <c r="I30" s="1" t="s">
        <v>22</v>
      </c>
      <c r="J30" s="3">
        <v>399</v>
      </c>
      <c r="K30" s="3">
        <v>84.96</v>
      </c>
      <c r="L30" s="1" t="s">
        <v>41</v>
      </c>
      <c r="M30" s="1" t="s">
        <v>24</v>
      </c>
    </row>
    <row r="31" spans="1:13" ht="15.75">
      <c r="A31" s="1" t="s">
        <v>156</v>
      </c>
      <c r="B31" s="6">
        <v>44412</v>
      </c>
      <c r="C31" s="9" t="s">
        <v>57</v>
      </c>
      <c r="D31" s="1" t="s">
        <v>157</v>
      </c>
      <c r="E31" s="1" t="s">
        <v>158</v>
      </c>
      <c r="F31" s="1" t="s">
        <v>159</v>
      </c>
      <c r="G31" s="1" t="s">
        <v>30</v>
      </c>
      <c r="H31" s="1" t="s">
        <v>31</v>
      </c>
      <c r="I31" s="1" t="s">
        <v>22</v>
      </c>
      <c r="J31" s="3">
        <v>449</v>
      </c>
      <c r="K31" s="3" t="s">
        <v>23</v>
      </c>
      <c r="L31" s="1" t="s">
        <v>23</v>
      </c>
      <c r="M31" s="1" t="s">
        <v>24</v>
      </c>
    </row>
    <row r="32" spans="1:13" ht="15.75">
      <c r="A32" s="1" t="s">
        <v>160</v>
      </c>
      <c r="B32" s="6">
        <v>44480</v>
      </c>
      <c r="C32" s="9" t="s">
        <v>26</v>
      </c>
      <c r="D32" s="1" t="s">
        <v>161</v>
      </c>
      <c r="E32" s="1" t="s">
        <v>162</v>
      </c>
      <c r="F32" s="1" t="s">
        <v>163</v>
      </c>
      <c r="G32" s="1" t="s">
        <v>30</v>
      </c>
      <c r="H32" s="1" t="s">
        <v>31</v>
      </c>
      <c r="I32" s="1" t="s">
        <v>22</v>
      </c>
      <c r="J32" s="3">
        <v>449</v>
      </c>
      <c r="K32" s="3">
        <v>60.18</v>
      </c>
      <c r="L32" s="1" t="s">
        <v>23</v>
      </c>
      <c r="M32" s="1" t="s">
        <v>24</v>
      </c>
    </row>
    <row r="33" spans="1:13" ht="15.75">
      <c r="A33" s="1" t="s">
        <v>164</v>
      </c>
      <c r="B33" s="6">
        <v>44485</v>
      </c>
      <c r="C33" s="9" t="s">
        <v>26</v>
      </c>
      <c r="D33" s="1" t="s">
        <v>165</v>
      </c>
      <c r="E33" s="1" t="s">
        <v>166</v>
      </c>
      <c r="F33" s="1" t="s">
        <v>78</v>
      </c>
      <c r="G33" s="1" t="s">
        <v>167</v>
      </c>
      <c r="H33" s="1" t="s">
        <v>168</v>
      </c>
      <c r="I33" s="1" t="s">
        <v>22</v>
      </c>
      <c r="J33" s="3">
        <v>399</v>
      </c>
      <c r="K33" s="3">
        <v>60.18</v>
      </c>
      <c r="L33" s="1" t="s">
        <v>23</v>
      </c>
      <c r="M33" s="1" t="s">
        <v>24</v>
      </c>
    </row>
    <row r="34" spans="1:13" ht="15.75">
      <c r="A34" s="1" t="s">
        <v>169</v>
      </c>
      <c r="B34" s="6">
        <v>44498</v>
      </c>
      <c r="C34" s="9" t="s">
        <v>26</v>
      </c>
      <c r="D34" s="1" t="s">
        <v>170</v>
      </c>
      <c r="E34" s="1" t="s">
        <v>117</v>
      </c>
      <c r="F34" s="1" t="s">
        <v>38</v>
      </c>
      <c r="G34" s="1" t="s">
        <v>30</v>
      </c>
      <c r="H34" s="1" t="s">
        <v>31</v>
      </c>
      <c r="I34" s="1" t="s">
        <v>22</v>
      </c>
      <c r="J34" s="3">
        <v>449</v>
      </c>
      <c r="K34" s="3">
        <v>84.96</v>
      </c>
      <c r="L34" s="1" t="s">
        <v>41</v>
      </c>
      <c r="M34" s="1" t="s">
        <v>24</v>
      </c>
    </row>
    <row r="35" spans="1:13" ht="15.75">
      <c r="A35" s="1" t="s">
        <v>171</v>
      </c>
      <c r="B35" s="6">
        <v>44457</v>
      </c>
      <c r="C35" s="9" t="s">
        <v>43</v>
      </c>
      <c r="D35" s="1" t="s">
        <v>172</v>
      </c>
      <c r="E35" s="1" t="s">
        <v>71</v>
      </c>
      <c r="F35" s="1" t="s">
        <v>72</v>
      </c>
      <c r="G35" s="1" t="s">
        <v>30</v>
      </c>
      <c r="H35" s="1" t="s">
        <v>31</v>
      </c>
      <c r="I35" s="1" t="s">
        <v>22</v>
      </c>
      <c r="J35" s="3">
        <v>449</v>
      </c>
      <c r="K35" s="3">
        <v>84.96</v>
      </c>
      <c r="L35" s="1" t="s">
        <v>23</v>
      </c>
      <c r="M35" s="1" t="s">
        <v>24</v>
      </c>
    </row>
    <row r="36" spans="1:13" ht="15.75">
      <c r="A36" s="1" t="s">
        <v>173</v>
      </c>
      <c r="B36" s="6">
        <v>44497</v>
      </c>
      <c r="C36" s="9" t="s">
        <v>26</v>
      </c>
      <c r="D36" s="1" t="s">
        <v>174</v>
      </c>
      <c r="E36" s="1" t="s">
        <v>107</v>
      </c>
      <c r="F36" s="1" t="s">
        <v>53</v>
      </c>
      <c r="G36" s="1" t="s">
        <v>175</v>
      </c>
      <c r="H36" s="1" t="s">
        <v>176</v>
      </c>
      <c r="I36" s="1" t="s">
        <v>22</v>
      </c>
      <c r="J36" s="3">
        <v>250</v>
      </c>
      <c r="K36" s="3">
        <v>47.2</v>
      </c>
      <c r="L36" s="1" t="s">
        <v>41</v>
      </c>
      <c r="M36" s="1" t="s">
        <v>24</v>
      </c>
    </row>
    <row r="37" spans="1:13" ht="15.75">
      <c r="A37" s="1" t="s">
        <v>177</v>
      </c>
      <c r="B37" s="6">
        <v>44446</v>
      </c>
      <c r="C37" s="9" t="s">
        <v>43</v>
      </c>
      <c r="D37" s="1" t="s">
        <v>178</v>
      </c>
      <c r="E37" s="1" t="s">
        <v>71</v>
      </c>
      <c r="F37" s="1" t="s">
        <v>72</v>
      </c>
      <c r="G37" s="1" t="s">
        <v>73</v>
      </c>
      <c r="H37" s="1" t="s">
        <v>74</v>
      </c>
      <c r="I37" s="1" t="s">
        <v>22</v>
      </c>
      <c r="J37" s="3">
        <v>399</v>
      </c>
      <c r="K37" s="3">
        <v>84.96</v>
      </c>
      <c r="L37" s="1" t="s">
        <v>23</v>
      </c>
      <c r="M37" s="1" t="s">
        <v>24</v>
      </c>
    </row>
    <row r="38" spans="1:13" ht="15.75">
      <c r="A38" s="1" t="s">
        <v>179</v>
      </c>
      <c r="B38" s="6">
        <v>44441</v>
      </c>
      <c r="C38" s="9" t="s">
        <v>43</v>
      </c>
      <c r="D38" s="1" t="s">
        <v>180</v>
      </c>
      <c r="E38" s="1" t="s">
        <v>181</v>
      </c>
      <c r="F38" s="1" t="s">
        <v>92</v>
      </c>
      <c r="G38" s="1" t="s">
        <v>154</v>
      </c>
      <c r="H38" s="1" t="s">
        <v>155</v>
      </c>
      <c r="I38" s="1" t="s">
        <v>22</v>
      </c>
      <c r="J38" s="3">
        <v>399</v>
      </c>
      <c r="K38" s="3">
        <v>84.96</v>
      </c>
      <c r="L38" s="1" t="s">
        <v>23</v>
      </c>
      <c r="M38" s="1" t="s">
        <v>24</v>
      </c>
    </row>
    <row r="39" spans="1:13" ht="15.75">
      <c r="A39" s="1" t="s">
        <v>182</v>
      </c>
      <c r="B39" s="6">
        <v>44457</v>
      </c>
      <c r="C39" s="9" t="s">
        <v>43</v>
      </c>
      <c r="D39" s="1" t="s">
        <v>183</v>
      </c>
      <c r="E39" s="1" t="s">
        <v>97</v>
      </c>
      <c r="F39" s="1" t="s">
        <v>46</v>
      </c>
      <c r="G39" s="1" t="s">
        <v>184</v>
      </c>
      <c r="H39" s="1" t="s">
        <v>185</v>
      </c>
      <c r="I39" s="1" t="s">
        <v>22</v>
      </c>
      <c r="J39" s="3">
        <v>449</v>
      </c>
      <c r="K39" s="3">
        <v>84.96</v>
      </c>
      <c r="L39" s="1" t="s">
        <v>23</v>
      </c>
      <c r="M39" s="1" t="s">
        <v>24</v>
      </c>
    </row>
    <row r="40" spans="1:13" ht="15.75">
      <c r="A40" s="1" t="s">
        <v>186</v>
      </c>
      <c r="B40" s="6">
        <v>44501</v>
      </c>
      <c r="C40" s="9" t="s">
        <v>33</v>
      </c>
      <c r="D40" s="1" t="s">
        <v>187</v>
      </c>
      <c r="E40" s="1" t="s">
        <v>188</v>
      </c>
      <c r="F40" s="1" t="s">
        <v>189</v>
      </c>
      <c r="G40" s="1" t="s">
        <v>154</v>
      </c>
      <c r="H40" s="1" t="s">
        <v>155</v>
      </c>
      <c r="I40" s="1" t="s">
        <v>22</v>
      </c>
      <c r="J40" s="3">
        <v>399</v>
      </c>
      <c r="K40" s="3">
        <v>84.96</v>
      </c>
      <c r="L40" s="1" t="s">
        <v>41</v>
      </c>
      <c r="M40" s="1" t="s">
        <v>24</v>
      </c>
    </row>
    <row r="41" spans="1:13" ht="15.75">
      <c r="A41" s="1" t="s">
        <v>190</v>
      </c>
      <c r="B41" s="6">
        <v>44526</v>
      </c>
      <c r="C41" s="9" t="s">
        <v>33</v>
      </c>
      <c r="D41" s="1" t="s">
        <v>191</v>
      </c>
      <c r="E41" s="1" t="s">
        <v>152</v>
      </c>
      <c r="F41" s="1" t="s">
        <v>153</v>
      </c>
      <c r="G41" s="1" t="s">
        <v>192</v>
      </c>
      <c r="H41" s="1" t="s">
        <v>193</v>
      </c>
      <c r="I41" s="1" t="s">
        <v>194</v>
      </c>
      <c r="J41" s="3" t="s">
        <v>23</v>
      </c>
      <c r="K41" s="3">
        <v>84.96</v>
      </c>
      <c r="L41" s="1" t="s">
        <v>23</v>
      </c>
      <c r="M41" s="1" t="s">
        <v>63</v>
      </c>
    </row>
    <row r="42" spans="1:13" ht="15.75">
      <c r="A42" s="1" t="s">
        <v>195</v>
      </c>
      <c r="B42" s="6">
        <v>44445</v>
      </c>
      <c r="C42" s="9" t="s">
        <v>43</v>
      </c>
      <c r="D42" s="1" t="s">
        <v>196</v>
      </c>
      <c r="E42" s="1" t="s">
        <v>117</v>
      </c>
      <c r="F42" s="1" t="s">
        <v>38</v>
      </c>
      <c r="G42" s="1" t="s">
        <v>197</v>
      </c>
      <c r="H42" s="1" t="s">
        <v>198</v>
      </c>
      <c r="I42" s="1" t="s">
        <v>22</v>
      </c>
      <c r="J42" s="3">
        <v>549</v>
      </c>
      <c r="K42" s="3">
        <v>84.96</v>
      </c>
      <c r="L42" s="1" t="s">
        <v>23</v>
      </c>
      <c r="M42" s="1" t="s">
        <v>24</v>
      </c>
    </row>
    <row r="43" spans="1:13" ht="15.75">
      <c r="A43" s="1" t="s">
        <v>199</v>
      </c>
      <c r="B43" s="6">
        <v>44470</v>
      </c>
      <c r="C43" s="9" t="s">
        <v>26</v>
      </c>
      <c r="D43" s="1" t="s">
        <v>200</v>
      </c>
      <c r="E43" s="1" t="s">
        <v>201</v>
      </c>
      <c r="F43" s="1" t="s">
        <v>202</v>
      </c>
      <c r="G43" s="1" t="s">
        <v>175</v>
      </c>
      <c r="H43" s="1" t="s">
        <v>176</v>
      </c>
      <c r="I43" s="1" t="s">
        <v>22</v>
      </c>
      <c r="J43" s="3">
        <v>250</v>
      </c>
      <c r="K43" s="3">
        <v>84.96</v>
      </c>
      <c r="L43" s="1" t="s">
        <v>23</v>
      </c>
      <c r="M43" s="1" t="s">
        <v>24</v>
      </c>
    </row>
    <row r="44" spans="1:13" ht="15.75">
      <c r="A44" s="1" t="s">
        <v>203</v>
      </c>
      <c r="B44" s="6">
        <v>44473</v>
      </c>
      <c r="C44" s="9" t="s">
        <v>26</v>
      </c>
      <c r="D44" s="1" t="s">
        <v>204</v>
      </c>
      <c r="E44" s="1" t="s">
        <v>133</v>
      </c>
      <c r="F44" s="1" t="s">
        <v>84</v>
      </c>
      <c r="G44" s="1" t="s">
        <v>30</v>
      </c>
      <c r="H44" s="1" t="s">
        <v>31</v>
      </c>
      <c r="I44" s="1" t="s">
        <v>22</v>
      </c>
      <c r="J44" s="3">
        <v>449</v>
      </c>
      <c r="K44" s="3">
        <v>84.96</v>
      </c>
      <c r="L44" s="1" t="s">
        <v>23</v>
      </c>
      <c r="M44" s="1" t="s">
        <v>24</v>
      </c>
    </row>
    <row r="45" spans="1:13" ht="15.75">
      <c r="A45" s="1" t="s">
        <v>205</v>
      </c>
      <c r="B45" s="6">
        <v>44500</v>
      </c>
      <c r="C45" s="9" t="s">
        <v>26</v>
      </c>
      <c r="D45" s="1" t="s">
        <v>206</v>
      </c>
      <c r="E45" s="1" t="s">
        <v>107</v>
      </c>
      <c r="F45" s="1" t="s">
        <v>53</v>
      </c>
      <c r="G45" s="1" t="s">
        <v>67</v>
      </c>
      <c r="H45" s="1" t="s">
        <v>68</v>
      </c>
      <c r="I45" s="1" t="s">
        <v>22</v>
      </c>
      <c r="J45" s="3" t="s">
        <v>23</v>
      </c>
      <c r="K45" s="3">
        <v>47.2</v>
      </c>
      <c r="L45" s="1" t="s">
        <v>23</v>
      </c>
      <c r="M45" s="1" t="s">
        <v>63</v>
      </c>
    </row>
    <row r="46" spans="1:13" ht="15.75">
      <c r="A46" s="1" t="s">
        <v>207</v>
      </c>
      <c r="B46" s="6">
        <v>44414</v>
      </c>
      <c r="C46" s="9" t="s">
        <v>57</v>
      </c>
      <c r="D46" s="1" t="s">
        <v>208</v>
      </c>
      <c r="E46" s="1" t="s">
        <v>209</v>
      </c>
      <c r="F46" s="1" t="s">
        <v>46</v>
      </c>
      <c r="G46" s="1" t="s">
        <v>30</v>
      </c>
      <c r="H46" s="1" t="s">
        <v>31</v>
      </c>
      <c r="I46" s="1" t="s">
        <v>22</v>
      </c>
      <c r="J46" s="3">
        <v>449</v>
      </c>
      <c r="K46" s="3" t="s">
        <v>23</v>
      </c>
      <c r="L46" s="1" t="s">
        <v>23</v>
      </c>
      <c r="M46" s="1" t="s">
        <v>24</v>
      </c>
    </row>
    <row r="47" spans="1:13" ht="15.75">
      <c r="A47" s="1" t="s">
        <v>210</v>
      </c>
      <c r="B47" s="6">
        <v>44500</v>
      </c>
      <c r="C47" s="9" t="s">
        <v>26</v>
      </c>
      <c r="D47" s="1" t="s">
        <v>211</v>
      </c>
      <c r="E47" s="1" t="s">
        <v>212</v>
      </c>
      <c r="F47" s="1" t="s">
        <v>213</v>
      </c>
      <c r="G47" s="1" t="s">
        <v>175</v>
      </c>
      <c r="H47" s="1" t="s">
        <v>176</v>
      </c>
      <c r="I47" s="1" t="s">
        <v>22</v>
      </c>
      <c r="J47" s="3">
        <v>250</v>
      </c>
      <c r="K47" s="3">
        <v>60.18</v>
      </c>
      <c r="L47" s="1" t="s">
        <v>41</v>
      </c>
      <c r="M47" s="1" t="s">
        <v>24</v>
      </c>
    </row>
    <row r="48" spans="1:13" ht="15.75">
      <c r="A48" s="1" t="s">
        <v>214</v>
      </c>
      <c r="B48" s="6">
        <v>44421</v>
      </c>
      <c r="C48" s="9" t="s">
        <v>57</v>
      </c>
      <c r="D48" s="1" t="s">
        <v>215</v>
      </c>
      <c r="E48" s="1" t="s">
        <v>216</v>
      </c>
      <c r="F48" s="1" t="s">
        <v>213</v>
      </c>
      <c r="G48" s="1" t="s">
        <v>47</v>
      </c>
      <c r="H48" s="1" t="s">
        <v>48</v>
      </c>
      <c r="I48" s="1" t="s">
        <v>22</v>
      </c>
      <c r="J48" s="3">
        <v>1099</v>
      </c>
      <c r="K48" s="3" t="s">
        <v>23</v>
      </c>
      <c r="L48" s="1" t="s">
        <v>41</v>
      </c>
      <c r="M48" s="1" t="s">
        <v>24</v>
      </c>
    </row>
    <row r="49" spans="1:13" ht="15.75">
      <c r="A49" s="1" t="s">
        <v>217</v>
      </c>
      <c r="B49" s="6">
        <v>44474</v>
      </c>
      <c r="C49" s="9" t="s">
        <v>26</v>
      </c>
      <c r="D49" s="1" t="s">
        <v>218</v>
      </c>
      <c r="E49" s="1" t="s">
        <v>216</v>
      </c>
      <c r="F49" s="1" t="s">
        <v>213</v>
      </c>
      <c r="G49" s="1" t="s">
        <v>219</v>
      </c>
      <c r="H49" s="1" t="s">
        <v>220</v>
      </c>
      <c r="I49" s="1" t="s">
        <v>22</v>
      </c>
      <c r="J49" s="3" t="s">
        <v>23</v>
      </c>
      <c r="K49" s="3">
        <v>60.18</v>
      </c>
      <c r="L49" s="1" t="s">
        <v>41</v>
      </c>
      <c r="M49" s="1" t="s">
        <v>63</v>
      </c>
    </row>
    <row r="50" spans="1:13" ht="15.75">
      <c r="A50" s="1" t="s">
        <v>221</v>
      </c>
      <c r="B50" s="6">
        <v>44424</v>
      </c>
      <c r="C50" s="9" t="s">
        <v>57</v>
      </c>
      <c r="D50" s="1" t="s">
        <v>222</v>
      </c>
      <c r="E50" s="1" t="s">
        <v>223</v>
      </c>
      <c r="F50" s="1" t="s">
        <v>224</v>
      </c>
      <c r="G50" s="1" t="s">
        <v>79</v>
      </c>
      <c r="H50" s="1" t="s">
        <v>80</v>
      </c>
      <c r="I50" s="1" t="s">
        <v>22</v>
      </c>
      <c r="J50" s="3">
        <v>1099</v>
      </c>
      <c r="K50" s="3" t="s">
        <v>23</v>
      </c>
      <c r="L50" s="1" t="s">
        <v>41</v>
      </c>
      <c r="M50" s="1" t="s">
        <v>24</v>
      </c>
    </row>
    <row r="51" spans="1:13" ht="15.75">
      <c r="A51" s="1" t="s">
        <v>225</v>
      </c>
      <c r="B51" s="6">
        <v>44444</v>
      </c>
      <c r="C51" s="9" t="s">
        <v>43</v>
      </c>
      <c r="D51" s="1" t="s">
        <v>226</v>
      </c>
      <c r="E51" s="1" t="s">
        <v>117</v>
      </c>
      <c r="F51" s="1" t="s">
        <v>38</v>
      </c>
      <c r="G51" s="1" t="s">
        <v>61</v>
      </c>
      <c r="H51" s="1" t="s">
        <v>62</v>
      </c>
      <c r="I51" s="1" t="s">
        <v>22</v>
      </c>
      <c r="J51" s="3">
        <v>649</v>
      </c>
      <c r="K51" s="3">
        <v>84.96</v>
      </c>
      <c r="L51" s="1" t="s">
        <v>23</v>
      </c>
      <c r="M51" s="1" t="s">
        <v>24</v>
      </c>
    </row>
    <row r="52" spans="1:13" ht="15.75">
      <c r="A52" s="1" t="s">
        <v>227</v>
      </c>
      <c r="B52" s="6">
        <v>44513</v>
      </c>
      <c r="C52" s="9" t="s">
        <v>33</v>
      </c>
      <c r="D52" s="1" t="s">
        <v>228</v>
      </c>
      <c r="E52" s="1" t="s">
        <v>229</v>
      </c>
      <c r="F52" s="1" t="s">
        <v>92</v>
      </c>
      <c r="G52" s="1" t="s">
        <v>230</v>
      </c>
      <c r="H52" s="1" t="s">
        <v>231</v>
      </c>
      <c r="I52" s="1" t="s">
        <v>22</v>
      </c>
      <c r="J52" s="3">
        <v>449</v>
      </c>
      <c r="K52" s="3">
        <v>84.96</v>
      </c>
      <c r="L52" s="1" t="s">
        <v>41</v>
      </c>
      <c r="M52" s="1" t="s">
        <v>24</v>
      </c>
    </row>
    <row r="53" spans="1:13" ht="15.75">
      <c r="A53" s="1" t="s">
        <v>232</v>
      </c>
      <c r="B53" s="6">
        <v>44432</v>
      </c>
      <c r="C53" s="9" t="s">
        <v>57</v>
      </c>
      <c r="D53" s="1" t="s">
        <v>233</v>
      </c>
      <c r="E53" s="1" t="s">
        <v>45</v>
      </c>
      <c r="F53" s="1" t="s">
        <v>46</v>
      </c>
      <c r="G53" s="1" t="s">
        <v>234</v>
      </c>
      <c r="H53" s="1" t="s">
        <v>235</v>
      </c>
      <c r="I53" s="1" t="s">
        <v>22</v>
      </c>
      <c r="J53" s="3">
        <v>399</v>
      </c>
      <c r="K53" s="3" t="s">
        <v>23</v>
      </c>
      <c r="L53" s="1" t="s">
        <v>23</v>
      </c>
      <c r="M53" s="1" t="s">
        <v>24</v>
      </c>
    </row>
    <row r="54" spans="1:13" ht="15.75">
      <c r="A54" s="1" t="s">
        <v>236</v>
      </c>
      <c r="B54" s="6">
        <v>44363</v>
      </c>
      <c r="C54" s="9" t="s">
        <v>50</v>
      </c>
      <c r="D54" s="1" t="s">
        <v>237</v>
      </c>
      <c r="E54" s="1" t="s">
        <v>238</v>
      </c>
      <c r="F54" s="1" t="s">
        <v>38</v>
      </c>
      <c r="G54" s="1" t="s">
        <v>239</v>
      </c>
      <c r="H54" s="1" t="s">
        <v>240</v>
      </c>
      <c r="I54" s="1" t="s">
        <v>22</v>
      </c>
      <c r="J54" s="3">
        <v>175</v>
      </c>
      <c r="K54" s="3" t="s">
        <v>23</v>
      </c>
      <c r="L54" s="1" t="s">
        <v>41</v>
      </c>
      <c r="M54" s="1" t="s">
        <v>24</v>
      </c>
    </row>
    <row r="55" spans="1:13" ht="15.75">
      <c r="A55" s="1" t="s">
        <v>241</v>
      </c>
      <c r="B55" s="6">
        <v>44491</v>
      </c>
      <c r="C55" s="9" t="s">
        <v>26</v>
      </c>
      <c r="D55" s="1" t="s">
        <v>242</v>
      </c>
      <c r="E55" s="1" t="s">
        <v>45</v>
      </c>
      <c r="F55" s="1" t="s">
        <v>46</v>
      </c>
      <c r="G55" s="1" t="s">
        <v>30</v>
      </c>
      <c r="H55" s="1" t="s">
        <v>31</v>
      </c>
      <c r="I55" s="1" t="s">
        <v>22</v>
      </c>
      <c r="J55" s="3">
        <v>449</v>
      </c>
      <c r="K55" s="3">
        <v>84.96</v>
      </c>
      <c r="L55" s="1" t="s">
        <v>41</v>
      </c>
      <c r="M55" s="1" t="s">
        <v>24</v>
      </c>
    </row>
    <row r="56" spans="1:13" ht="15.75">
      <c r="A56" s="1" t="s">
        <v>243</v>
      </c>
      <c r="B56" s="6">
        <v>44495</v>
      </c>
      <c r="C56" s="9" t="s">
        <v>26</v>
      </c>
      <c r="D56" s="1" t="s">
        <v>244</v>
      </c>
      <c r="E56" s="1" t="s">
        <v>107</v>
      </c>
      <c r="F56" s="1" t="s">
        <v>53</v>
      </c>
      <c r="G56" s="1" t="s">
        <v>245</v>
      </c>
      <c r="H56" s="1" t="s">
        <v>246</v>
      </c>
      <c r="I56" s="1" t="s">
        <v>22</v>
      </c>
      <c r="J56" s="3">
        <v>549</v>
      </c>
      <c r="K56" s="3">
        <v>47.2</v>
      </c>
      <c r="L56" s="1" t="s">
        <v>23</v>
      </c>
      <c r="M56" s="1" t="s">
        <v>24</v>
      </c>
    </row>
    <row r="57" spans="1:13" ht="15.75">
      <c r="A57" s="1" t="s">
        <v>247</v>
      </c>
      <c r="B57" s="6">
        <v>44484</v>
      </c>
      <c r="C57" s="9" t="s">
        <v>26</v>
      </c>
      <c r="D57" s="1" t="s">
        <v>248</v>
      </c>
      <c r="E57" s="1" t="s">
        <v>107</v>
      </c>
      <c r="F57" s="1" t="s">
        <v>53</v>
      </c>
      <c r="G57" s="1" t="s">
        <v>154</v>
      </c>
      <c r="H57" s="1" t="s">
        <v>155</v>
      </c>
      <c r="I57" s="1" t="s">
        <v>22</v>
      </c>
      <c r="J57" s="3">
        <v>399</v>
      </c>
      <c r="K57" s="3">
        <v>47.2</v>
      </c>
      <c r="L57" s="1" t="s">
        <v>23</v>
      </c>
      <c r="M57" s="1" t="s">
        <v>24</v>
      </c>
    </row>
    <row r="58" spans="1:13" ht="15.75">
      <c r="A58" s="1" t="s">
        <v>249</v>
      </c>
      <c r="B58" s="6">
        <v>44363</v>
      </c>
      <c r="C58" s="9" t="s">
        <v>50</v>
      </c>
      <c r="D58" s="1" t="s">
        <v>250</v>
      </c>
      <c r="E58" s="1" t="s">
        <v>251</v>
      </c>
      <c r="F58" s="1" t="s">
        <v>46</v>
      </c>
      <c r="G58" s="1" t="s">
        <v>138</v>
      </c>
      <c r="H58" s="1" t="s">
        <v>252</v>
      </c>
      <c r="I58" s="1" t="s">
        <v>22</v>
      </c>
      <c r="J58" s="3">
        <v>175</v>
      </c>
      <c r="K58" s="3" t="s">
        <v>23</v>
      </c>
      <c r="L58" s="1" t="s">
        <v>23</v>
      </c>
      <c r="M58" s="1" t="s">
        <v>24</v>
      </c>
    </row>
    <row r="59" spans="1:13" ht="15.75">
      <c r="A59" s="1" t="s">
        <v>253</v>
      </c>
      <c r="B59" s="6">
        <v>44504</v>
      </c>
      <c r="C59" s="9" t="s">
        <v>33</v>
      </c>
      <c r="D59" s="1" t="s">
        <v>254</v>
      </c>
      <c r="E59" s="1" t="s">
        <v>45</v>
      </c>
      <c r="F59" s="1" t="s">
        <v>46</v>
      </c>
      <c r="G59" s="1" t="s">
        <v>154</v>
      </c>
      <c r="H59" s="1" t="s">
        <v>155</v>
      </c>
      <c r="I59" s="1" t="s">
        <v>22</v>
      </c>
      <c r="J59" s="3">
        <v>399</v>
      </c>
      <c r="K59" s="3">
        <v>84.96</v>
      </c>
      <c r="L59" s="1" t="s">
        <v>23</v>
      </c>
      <c r="M59" s="1" t="s">
        <v>24</v>
      </c>
    </row>
    <row r="60" spans="1:13" ht="15.75">
      <c r="A60" s="1" t="s">
        <v>255</v>
      </c>
      <c r="B60" s="6">
        <v>44511</v>
      </c>
      <c r="C60" s="9" t="s">
        <v>33</v>
      </c>
      <c r="D60" s="1" t="s">
        <v>256</v>
      </c>
      <c r="E60" s="1" t="s">
        <v>257</v>
      </c>
      <c r="F60" s="1" t="s">
        <v>202</v>
      </c>
      <c r="G60" s="1" t="s">
        <v>258</v>
      </c>
      <c r="H60" s="1" t="s">
        <v>259</v>
      </c>
      <c r="I60" s="1" t="s">
        <v>22</v>
      </c>
      <c r="J60" s="3">
        <v>1299</v>
      </c>
      <c r="K60" s="3">
        <v>178.18</v>
      </c>
      <c r="L60" s="1" t="s">
        <v>41</v>
      </c>
      <c r="M60" s="1" t="s">
        <v>24</v>
      </c>
    </row>
    <row r="61" spans="1:13" ht="15.75">
      <c r="A61" s="1" t="s">
        <v>260</v>
      </c>
      <c r="B61" s="6">
        <v>44363</v>
      </c>
      <c r="C61" s="9" t="s">
        <v>50</v>
      </c>
      <c r="D61" s="1" t="s">
        <v>261</v>
      </c>
      <c r="E61" s="1" t="s">
        <v>262</v>
      </c>
      <c r="F61" s="1" t="s">
        <v>46</v>
      </c>
      <c r="G61" s="1" t="s">
        <v>138</v>
      </c>
      <c r="H61" s="1" t="s">
        <v>252</v>
      </c>
      <c r="I61" s="1" t="s">
        <v>22</v>
      </c>
      <c r="J61" s="3">
        <v>175</v>
      </c>
      <c r="K61" s="3" t="s">
        <v>23</v>
      </c>
      <c r="L61" s="1" t="s">
        <v>23</v>
      </c>
      <c r="M61" s="1" t="s">
        <v>24</v>
      </c>
    </row>
    <row r="62" spans="1:13" ht="15.75">
      <c r="A62" s="1" t="s">
        <v>263</v>
      </c>
      <c r="B62" s="6">
        <v>44360</v>
      </c>
      <c r="C62" s="9" t="s">
        <v>50</v>
      </c>
      <c r="D62" s="1" t="s">
        <v>264</v>
      </c>
      <c r="E62" s="1" t="s">
        <v>265</v>
      </c>
      <c r="F62" s="1" t="s">
        <v>92</v>
      </c>
      <c r="G62" s="1" t="s">
        <v>266</v>
      </c>
      <c r="H62" s="1" t="s">
        <v>267</v>
      </c>
      <c r="I62" s="1" t="s">
        <v>22</v>
      </c>
      <c r="J62" s="3">
        <v>175</v>
      </c>
      <c r="K62" s="3" t="s">
        <v>23</v>
      </c>
      <c r="L62" s="1" t="s">
        <v>23</v>
      </c>
      <c r="M62" s="1" t="s">
        <v>24</v>
      </c>
    </row>
    <row r="63" spans="1:13" ht="15.75">
      <c r="A63" s="1" t="s">
        <v>268</v>
      </c>
      <c r="B63" s="6">
        <v>44529</v>
      </c>
      <c r="C63" s="9" t="s">
        <v>33</v>
      </c>
      <c r="D63" s="1" t="s">
        <v>269</v>
      </c>
      <c r="E63" s="1" t="s">
        <v>270</v>
      </c>
      <c r="F63" s="1" t="s">
        <v>271</v>
      </c>
      <c r="G63" s="1" t="s">
        <v>154</v>
      </c>
      <c r="H63" s="1" t="s">
        <v>155</v>
      </c>
      <c r="I63" s="1" t="s">
        <v>22</v>
      </c>
      <c r="J63" s="3">
        <v>399</v>
      </c>
      <c r="K63" s="3">
        <v>84.96</v>
      </c>
      <c r="L63" s="1" t="s">
        <v>23</v>
      </c>
      <c r="M63" s="1" t="s">
        <v>24</v>
      </c>
    </row>
    <row r="64" spans="1:13" ht="15.75">
      <c r="A64" s="1" t="s">
        <v>272</v>
      </c>
      <c r="B64" s="6">
        <v>44495</v>
      </c>
      <c r="C64" s="9" t="s">
        <v>26</v>
      </c>
      <c r="D64" s="1" t="s">
        <v>273</v>
      </c>
      <c r="E64" s="1" t="s">
        <v>45</v>
      </c>
      <c r="F64" s="1" t="s">
        <v>46</v>
      </c>
      <c r="G64" s="1" t="s">
        <v>274</v>
      </c>
      <c r="H64" s="1" t="s">
        <v>275</v>
      </c>
      <c r="I64" s="1" t="s">
        <v>22</v>
      </c>
      <c r="J64" s="3">
        <v>399</v>
      </c>
      <c r="K64" s="3">
        <v>84.96</v>
      </c>
      <c r="L64" s="1" t="s">
        <v>23</v>
      </c>
      <c r="M64" s="1" t="s">
        <v>24</v>
      </c>
    </row>
    <row r="65" spans="1:13" ht="15.75">
      <c r="A65" s="1" t="s">
        <v>276</v>
      </c>
      <c r="B65" s="6">
        <v>44375</v>
      </c>
      <c r="C65" s="9" t="s">
        <v>50</v>
      </c>
      <c r="D65" s="1" t="s">
        <v>277</v>
      </c>
      <c r="E65" s="1" t="s">
        <v>278</v>
      </c>
      <c r="F65" s="1" t="s">
        <v>78</v>
      </c>
      <c r="G65" s="1" t="s">
        <v>138</v>
      </c>
      <c r="H65" s="1" t="s">
        <v>139</v>
      </c>
      <c r="I65" s="1" t="s">
        <v>22</v>
      </c>
      <c r="J65" s="3">
        <v>349</v>
      </c>
      <c r="K65" s="3" t="s">
        <v>23</v>
      </c>
      <c r="L65" s="1" t="s">
        <v>23</v>
      </c>
      <c r="M65" s="1" t="s">
        <v>24</v>
      </c>
    </row>
    <row r="66" spans="1:13" ht="15.75">
      <c r="A66" s="1" t="s">
        <v>279</v>
      </c>
      <c r="B66" s="6">
        <v>44509</v>
      </c>
      <c r="C66" s="9" t="s">
        <v>33</v>
      </c>
      <c r="D66" s="1" t="s">
        <v>280</v>
      </c>
      <c r="E66" s="1" t="s">
        <v>133</v>
      </c>
      <c r="F66" s="1" t="s">
        <v>84</v>
      </c>
      <c r="G66" s="1" t="s">
        <v>30</v>
      </c>
      <c r="H66" s="1" t="s">
        <v>31</v>
      </c>
      <c r="I66" s="1" t="s">
        <v>22</v>
      </c>
      <c r="J66" s="3" t="s">
        <v>23</v>
      </c>
      <c r="K66" s="3">
        <v>84.96</v>
      </c>
      <c r="L66" s="1" t="s">
        <v>23</v>
      </c>
      <c r="M66" s="1" t="s">
        <v>24</v>
      </c>
    </row>
    <row r="67" spans="1:13" ht="15.75">
      <c r="A67" s="1" t="s">
        <v>281</v>
      </c>
      <c r="B67" s="6">
        <v>44507</v>
      </c>
      <c r="C67" s="9" t="s">
        <v>33</v>
      </c>
      <c r="D67" s="1" t="s">
        <v>282</v>
      </c>
      <c r="E67" s="1" t="s">
        <v>66</v>
      </c>
      <c r="F67" s="1" t="s">
        <v>60</v>
      </c>
      <c r="G67" s="1" t="s">
        <v>30</v>
      </c>
      <c r="H67" s="1" t="s">
        <v>31</v>
      </c>
      <c r="I67" s="1" t="s">
        <v>22</v>
      </c>
      <c r="J67" s="3">
        <v>449</v>
      </c>
      <c r="K67" s="3">
        <v>84.96</v>
      </c>
      <c r="L67" s="1" t="s">
        <v>23</v>
      </c>
      <c r="M67" s="1" t="s">
        <v>24</v>
      </c>
    </row>
    <row r="68" spans="1:13" ht="15.75">
      <c r="A68" s="1" t="s">
        <v>283</v>
      </c>
      <c r="B68" s="6">
        <v>44470</v>
      </c>
      <c r="C68" s="9" t="s">
        <v>26</v>
      </c>
      <c r="D68" s="1" t="s">
        <v>121</v>
      </c>
      <c r="E68" s="1" t="s">
        <v>45</v>
      </c>
      <c r="F68" s="1" t="s">
        <v>46</v>
      </c>
      <c r="G68" s="1" t="s">
        <v>284</v>
      </c>
      <c r="H68" s="1" t="s">
        <v>285</v>
      </c>
      <c r="I68" s="1" t="s">
        <v>22</v>
      </c>
      <c r="J68" s="3">
        <v>399</v>
      </c>
      <c r="K68" s="3">
        <v>84.96</v>
      </c>
      <c r="L68" s="1" t="s">
        <v>41</v>
      </c>
      <c r="M68" s="1" t="s">
        <v>24</v>
      </c>
    </row>
    <row r="69" spans="1:13" ht="15.75">
      <c r="A69" s="1" t="s">
        <v>286</v>
      </c>
      <c r="B69" s="6">
        <v>44510</v>
      </c>
      <c r="C69" s="9" t="s">
        <v>33</v>
      </c>
      <c r="D69" s="1" t="s">
        <v>287</v>
      </c>
      <c r="E69" s="1" t="s">
        <v>288</v>
      </c>
      <c r="F69" s="1" t="s">
        <v>289</v>
      </c>
      <c r="G69" s="1" t="s">
        <v>30</v>
      </c>
      <c r="H69" s="1" t="s">
        <v>31</v>
      </c>
      <c r="I69" s="1" t="s">
        <v>22</v>
      </c>
      <c r="J69" s="3">
        <v>449</v>
      </c>
      <c r="K69" s="3">
        <v>84.96</v>
      </c>
      <c r="L69" s="1" t="s">
        <v>23</v>
      </c>
      <c r="M69" s="1" t="s">
        <v>24</v>
      </c>
    </row>
    <row r="70" spans="1:13" ht="15.75">
      <c r="A70" s="1" t="s">
        <v>290</v>
      </c>
      <c r="B70" s="6">
        <v>44370</v>
      </c>
      <c r="C70" s="9" t="s">
        <v>50</v>
      </c>
      <c r="D70" s="1" t="s">
        <v>291</v>
      </c>
      <c r="E70" s="1" t="s">
        <v>292</v>
      </c>
      <c r="F70" s="1" t="s">
        <v>92</v>
      </c>
      <c r="G70" s="1" t="s">
        <v>184</v>
      </c>
      <c r="H70" s="1" t="s">
        <v>293</v>
      </c>
      <c r="I70" s="1" t="s">
        <v>22</v>
      </c>
      <c r="J70" s="3">
        <v>449</v>
      </c>
      <c r="K70" s="3" t="s">
        <v>23</v>
      </c>
      <c r="L70" s="1" t="s">
        <v>23</v>
      </c>
      <c r="M70" s="1" t="s">
        <v>24</v>
      </c>
    </row>
    <row r="71" spans="1:13" ht="15.75">
      <c r="A71" s="1" t="s">
        <v>294</v>
      </c>
      <c r="B71" s="6">
        <v>44458</v>
      </c>
      <c r="C71" s="9" t="s">
        <v>43</v>
      </c>
      <c r="D71" s="1" t="s">
        <v>295</v>
      </c>
      <c r="E71" s="1" t="s">
        <v>296</v>
      </c>
      <c r="F71" s="1" t="s">
        <v>53</v>
      </c>
      <c r="G71" s="1" t="s">
        <v>30</v>
      </c>
      <c r="H71" s="1" t="s">
        <v>31</v>
      </c>
      <c r="I71" s="1" t="s">
        <v>22</v>
      </c>
      <c r="J71" s="3">
        <v>449</v>
      </c>
      <c r="K71" s="3">
        <v>47.2</v>
      </c>
      <c r="L71" s="1" t="s">
        <v>23</v>
      </c>
      <c r="M71" s="1" t="s">
        <v>24</v>
      </c>
    </row>
    <row r="72" spans="1:13" ht="15.75">
      <c r="A72" s="1" t="s">
        <v>297</v>
      </c>
      <c r="B72" s="6">
        <v>44479</v>
      </c>
      <c r="C72" s="9" t="s">
        <v>26</v>
      </c>
      <c r="D72" s="1" t="s">
        <v>165</v>
      </c>
      <c r="E72" s="1" t="s">
        <v>166</v>
      </c>
      <c r="F72" s="1" t="s">
        <v>78</v>
      </c>
      <c r="G72" s="1" t="s">
        <v>154</v>
      </c>
      <c r="H72" s="1" t="s">
        <v>155</v>
      </c>
      <c r="I72" s="1" t="s">
        <v>22</v>
      </c>
      <c r="J72" s="3">
        <v>399</v>
      </c>
      <c r="K72" s="3">
        <v>60.18</v>
      </c>
      <c r="L72" s="1" t="s">
        <v>23</v>
      </c>
      <c r="M72" s="1" t="s">
        <v>24</v>
      </c>
    </row>
    <row r="73" spans="1:13" ht="15.75">
      <c r="A73" s="1" t="s">
        <v>298</v>
      </c>
      <c r="B73" s="6">
        <v>44424</v>
      </c>
      <c r="C73" s="9" t="s">
        <v>57</v>
      </c>
      <c r="D73" s="1" t="s">
        <v>299</v>
      </c>
      <c r="E73" s="1" t="s">
        <v>107</v>
      </c>
      <c r="F73" s="1" t="s">
        <v>53</v>
      </c>
      <c r="G73" s="1" t="s">
        <v>300</v>
      </c>
      <c r="H73" s="1" t="s">
        <v>301</v>
      </c>
      <c r="I73" s="1" t="s">
        <v>22</v>
      </c>
      <c r="J73" s="3">
        <v>250</v>
      </c>
      <c r="K73" s="3" t="s">
        <v>23</v>
      </c>
      <c r="L73" s="1" t="s">
        <v>23</v>
      </c>
      <c r="M73" s="1" t="s">
        <v>24</v>
      </c>
    </row>
    <row r="74" spans="1:13" ht="15.75">
      <c r="A74" s="1" t="s">
        <v>302</v>
      </c>
      <c r="B74" s="6">
        <v>44406</v>
      </c>
      <c r="C74" s="9" t="s">
        <v>17</v>
      </c>
      <c r="D74" s="1" t="s">
        <v>303</v>
      </c>
      <c r="E74" s="1" t="s">
        <v>304</v>
      </c>
      <c r="F74" s="1" t="s">
        <v>153</v>
      </c>
      <c r="G74" s="1" t="s">
        <v>305</v>
      </c>
      <c r="H74" s="1" t="s">
        <v>306</v>
      </c>
      <c r="I74" s="1" t="s">
        <v>22</v>
      </c>
      <c r="J74" s="3">
        <v>349</v>
      </c>
      <c r="K74" s="3" t="s">
        <v>23</v>
      </c>
      <c r="L74" s="1" t="s">
        <v>23</v>
      </c>
      <c r="M74" s="1" t="s">
        <v>24</v>
      </c>
    </row>
    <row r="75" spans="1:13" ht="15.75">
      <c r="A75" s="1" t="s">
        <v>307</v>
      </c>
      <c r="B75" s="6">
        <v>44398</v>
      </c>
      <c r="C75" s="9" t="s">
        <v>17</v>
      </c>
      <c r="D75" s="1" t="s">
        <v>308</v>
      </c>
      <c r="E75" s="1" t="s">
        <v>309</v>
      </c>
      <c r="F75" s="1" t="s">
        <v>92</v>
      </c>
      <c r="G75" s="1" t="s">
        <v>310</v>
      </c>
      <c r="H75" s="1" t="s">
        <v>311</v>
      </c>
      <c r="I75" s="1" t="s">
        <v>22</v>
      </c>
      <c r="J75" s="3">
        <v>549</v>
      </c>
      <c r="K75" s="3" t="s">
        <v>23</v>
      </c>
      <c r="L75" s="1" t="s">
        <v>41</v>
      </c>
      <c r="M75" s="1" t="s">
        <v>24</v>
      </c>
    </row>
    <row r="76" spans="1:13" ht="15.75">
      <c r="A76" s="1" t="s">
        <v>312</v>
      </c>
      <c r="B76" s="6">
        <v>44512</v>
      </c>
      <c r="C76" s="9" t="s">
        <v>33</v>
      </c>
      <c r="D76" s="1" t="s">
        <v>313</v>
      </c>
      <c r="E76" s="1" t="s">
        <v>314</v>
      </c>
      <c r="F76" s="1" t="s">
        <v>315</v>
      </c>
      <c r="G76" s="1" t="s">
        <v>258</v>
      </c>
      <c r="H76" s="1" t="s">
        <v>259</v>
      </c>
      <c r="I76" s="1" t="s">
        <v>22</v>
      </c>
      <c r="J76" s="3">
        <v>1299</v>
      </c>
      <c r="K76" s="3">
        <v>210.04</v>
      </c>
      <c r="L76" s="1" t="s">
        <v>23</v>
      </c>
      <c r="M76" s="1" t="s">
        <v>24</v>
      </c>
    </row>
    <row r="77" spans="1:13" ht="15.75">
      <c r="A77" s="1" t="s">
        <v>316</v>
      </c>
      <c r="B77" s="6">
        <v>44527</v>
      </c>
      <c r="C77" s="9" t="s">
        <v>33</v>
      </c>
      <c r="D77" s="1" t="s">
        <v>317</v>
      </c>
      <c r="E77" s="1" t="s">
        <v>318</v>
      </c>
      <c r="F77" s="1" t="s">
        <v>92</v>
      </c>
      <c r="G77" s="1" t="s">
        <v>319</v>
      </c>
      <c r="H77" s="1" t="s">
        <v>320</v>
      </c>
      <c r="I77" s="1" t="s">
        <v>22</v>
      </c>
      <c r="J77" s="3">
        <v>449</v>
      </c>
      <c r="K77" s="3">
        <v>84.96</v>
      </c>
      <c r="L77" s="1" t="s">
        <v>23</v>
      </c>
      <c r="M77" s="1" t="s">
        <v>24</v>
      </c>
    </row>
    <row r="78" spans="1:13" ht="15.75">
      <c r="A78" s="1" t="s">
        <v>321</v>
      </c>
      <c r="B78" s="6">
        <v>44390</v>
      </c>
      <c r="C78" s="9" t="s">
        <v>17</v>
      </c>
      <c r="D78" s="1" t="s">
        <v>282</v>
      </c>
      <c r="E78" s="1" t="s">
        <v>117</v>
      </c>
      <c r="F78" s="1" t="s">
        <v>38</v>
      </c>
      <c r="G78" s="1" t="s">
        <v>239</v>
      </c>
      <c r="H78" s="1" t="s">
        <v>21</v>
      </c>
      <c r="I78" s="1" t="s">
        <v>22</v>
      </c>
      <c r="J78" s="3">
        <v>349</v>
      </c>
      <c r="K78" s="3" t="s">
        <v>23</v>
      </c>
      <c r="L78" s="1" t="s">
        <v>41</v>
      </c>
      <c r="M78" s="1" t="s">
        <v>24</v>
      </c>
    </row>
    <row r="79" spans="1:13" ht="15.75">
      <c r="A79" s="1" t="s">
        <v>322</v>
      </c>
      <c r="B79" s="6">
        <v>44458</v>
      </c>
      <c r="C79" s="9" t="s">
        <v>43</v>
      </c>
      <c r="D79" s="1" t="s">
        <v>323</v>
      </c>
      <c r="E79" s="1" t="s">
        <v>324</v>
      </c>
      <c r="F79" s="1" t="s">
        <v>224</v>
      </c>
      <c r="G79" s="1" t="s">
        <v>175</v>
      </c>
      <c r="H79" s="1" t="s">
        <v>176</v>
      </c>
      <c r="I79" s="1" t="s">
        <v>22</v>
      </c>
      <c r="J79" s="3">
        <v>250</v>
      </c>
      <c r="K79" s="3">
        <v>84.96</v>
      </c>
      <c r="L79" s="1" t="s">
        <v>41</v>
      </c>
      <c r="M79" s="1" t="s">
        <v>24</v>
      </c>
    </row>
    <row r="80" spans="1:13" ht="15.75">
      <c r="A80" s="1" t="s">
        <v>325</v>
      </c>
      <c r="B80" s="6">
        <v>44462</v>
      </c>
      <c r="C80" s="9" t="s">
        <v>43</v>
      </c>
      <c r="D80" s="1" t="s">
        <v>326</v>
      </c>
      <c r="E80" s="1" t="s">
        <v>327</v>
      </c>
      <c r="F80" s="1" t="s">
        <v>78</v>
      </c>
      <c r="G80" s="1" t="s">
        <v>30</v>
      </c>
      <c r="H80" s="1" t="s">
        <v>31</v>
      </c>
      <c r="I80" s="1" t="s">
        <v>22</v>
      </c>
      <c r="J80" s="3">
        <v>449</v>
      </c>
      <c r="K80" s="3">
        <v>60.18</v>
      </c>
      <c r="L80" s="1" t="s">
        <v>23</v>
      </c>
      <c r="M80" s="1" t="s">
        <v>24</v>
      </c>
    </row>
    <row r="81" spans="1:13" ht="15.75">
      <c r="A81" s="1" t="s">
        <v>328</v>
      </c>
      <c r="B81" s="6">
        <v>44493</v>
      </c>
      <c r="C81" s="9" t="s">
        <v>26</v>
      </c>
      <c r="D81" s="1" t="s">
        <v>329</v>
      </c>
      <c r="E81" s="1" t="s">
        <v>71</v>
      </c>
      <c r="F81" s="1" t="s">
        <v>72</v>
      </c>
      <c r="G81" s="1" t="s">
        <v>330</v>
      </c>
      <c r="H81" s="1" t="s">
        <v>331</v>
      </c>
      <c r="I81" s="1" t="s">
        <v>22</v>
      </c>
      <c r="J81" s="3">
        <v>549</v>
      </c>
      <c r="K81" s="3">
        <v>84.96</v>
      </c>
      <c r="L81" s="1" t="s">
        <v>23</v>
      </c>
      <c r="M81" s="1" t="s">
        <v>24</v>
      </c>
    </row>
    <row r="82" spans="1:13" ht="15.75">
      <c r="A82" s="1" t="s">
        <v>332</v>
      </c>
      <c r="B82" s="6">
        <v>44510</v>
      </c>
      <c r="C82" s="9" t="s">
        <v>33</v>
      </c>
      <c r="D82" s="1" t="s">
        <v>333</v>
      </c>
      <c r="E82" s="1" t="s">
        <v>117</v>
      </c>
      <c r="F82" s="1" t="s">
        <v>38</v>
      </c>
      <c r="G82" s="1" t="s">
        <v>192</v>
      </c>
      <c r="H82" s="1" t="s">
        <v>193</v>
      </c>
      <c r="I82" s="1" t="s">
        <v>22</v>
      </c>
      <c r="J82" s="3">
        <v>399</v>
      </c>
      <c r="K82" s="3">
        <v>84.96</v>
      </c>
      <c r="L82" s="1" t="s">
        <v>23</v>
      </c>
      <c r="M82" s="1" t="s">
        <v>24</v>
      </c>
    </row>
    <row r="83" spans="1:13" ht="15.75">
      <c r="A83" s="1" t="s">
        <v>334</v>
      </c>
      <c r="B83" s="6">
        <v>44518</v>
      </c>
      <c r="C83" s="9" t="s">
        <v>33</v>
      </c>
      <c r="D83" s="1" t="s">
        <v>335</v>
      </c>
      <c r="E83" s="1" t="s">
        <v>107</v>
      </c>
      <c r="F83" s="1" t="s">
        <v>53</v>
      </c>
      <c r="G83" s="1" t="s">
        <v>336</v>
      </c>
      <c r="H83" s="1" t="s">
        <v>337</v>
      </c>
      <c r="I83" s="1" t="s">
        <v>22</v>
      </c>
      <c r="J83" s="3">
        <v>399</v>
      </c>
      <c r="K83" s="3">
        <v>47.2</v>
      </c>
      <c r="L83" s="1" t="s">
        <v>23</v>
      </c>
      <c r="M83" s="1" t="s">
        <v>24</v>
      </c>
    </row>
    <row r="84" spans="1:13" ht="15.75">
      <c r="A84" s="1" t="s">
        <v>338</v>
      </c>
      <c r="B84" s="6">
        <v>44504</v>
      </c>
      <c r="C84" s="9" t="s">
        <v>33</v>
      </c>
      <c r="D84" s="1" t="s">
        <v>254</v>
      </c>
      <c r="E84" s="1" t="s">
        <v>45</v>
      </c>
      <c r="F84" s="1" t="s">
        <v>46</v>
      </c>
      <c r="G84" s="1" t="s">
        <v>167</v>
      </c>
      <c r="H84" s="1" t="s">
        <v>168</v>
      </c>
      <c r="I84" s="1" t="s">
        <v>22</v>
      </c>
      <c r="J84" s="3">
        <v>399</v>
      </c>
      <c r="K84" s="3">
        <v>84.96</v>
      </c>
      <c r="L84" s="1" t="s">
        <v>23</v>
      </c>
      <c r="M84" s="1" t="s">
        <v>24</v>
      </c>
    </row>
    <row r="85" spans="1:13" ht="15.75">
      <c r="A85" s="1" t="s">
        <v>339</v>
      </c>
      <c r="B85" s="6">
        <v>44440</v>
      </c>
      <c r="C85" s="9" t="s">
        <v>43</v>
      </c>
      <c r="D85" s="1" t="s">
        <v>340</v>
      </c>
      <c r="E85" s="1" t="s">
        <v>71</v>
      </c>
      <c r="F85" s="1" t="s">
        <v>72</v>
      </c>
      <c r="G85" s="1" t="s">
        <v>341</v>
      </c>
      <c r="H85" s="1" t="s">
        <v>342</v>
      </c>
      <c r="I85" s="1" t="s">
        <v>22</v>
      </c>
      <c r="J85" s="3">
        <v>549</v>
      </c>
      <c r="K85" s="3">
        <v>114.46</v>
      </c>
      <c r="L85" s="1" t="s">
        <v>23</v>
      </c>
      <c r="M85" s="1" t="s">
        <v>24</v>
      </c>
    </row>
    <row r="86" spans="1:13" ht="15.75">
      <c r="A86" s="1" t="s">
        <v>343</v>
      </c>
      <c r="B86" s="6">
        <v>44520</v>
      </c>
      <c r="C86" s="9" t="s">
        <v>33</v>
      </c>
      <c r="D86" s="1" t="s">
        <v>112</v>
      </c>
      <c r="E86" s="1" t="s">
        <v>45</v>
      </c>
      <c r="F86" s="1" t="s">
        <v>46</v>
      </c>
      <c r="G86" s="1" t="s">
        <v>113</v>
      </c>
      <c r="H86" s="1" t="s">
        <v>114</v>
      </c>
      <c r="I86" s="1" t="s">
        <v>22</v>
      </c>
      <c r="J86" s="3">
        <v>449</v>
      </c>
      <c r="K86" s="3">
        <v>84.96</v>
      </c>
      <c r="L86" s="1" t="s">
        <v>23</v>
      </c>
      <c r="M86" s="1" t="s">
        <v>24</v>
      </c>
    </row>
    <row r="87" spans="1:13" ht="15.75">
      <c r="A87" s="1" t="s">
        <v>344</v>
      </c>
      <c r="B87" s="6">
        <v>44437</v>
      </c>
      <c r="C87" s="9" t="s">
        <v>57</v>
      </c>
      <c r="D87" s="1" t="s">
        <v>345</v>
      </c>
      <c r="E87" s="1" t="s">
        <v>318</v>
      </c>
      <c r="F87" s="1" t="s">
        <v>92</v>
      </c>
      <c r="G87" s="1" t="s">
        <v>346</v>
      </c>
      <c r="H87" s="1" t="s">
        <v>347</v>
      </c>
      <c r="I87" s="1" t="s">
        <v>22</v>
      </c>
      <c r="J87" s="3">
        <v>250</v>
      </c>
      <c r="K87" s="3">
        <v>81.42</v>
      </c>
      <c r="L87" s="1" t="s">
        <v>41</v>
      </c>
      <c r="M87" s="1" t="s">
        <v>24</v>
      </c>
    </row>
    <row r="88" spans="1:13" ht="15.75">
      <c r="A88" s="1" t="s">
        <v>348</v>
      </c>
      <c r="B88" s="6">
        <v>44486</v>
      </c>
      <c r="C88" s="9" t="s">
        <v>26</v>
      </c>
      <c r="D88" s="1" t="s">
        <v>349</v>
      </c>
      <c r="E88" s="1" t="s">
        <v>209</v>
      </c>
      <c r="F88" s="1" t="s">
        <v>46</v>
      </c>
      <c r="G88" s="1" t="s">
        <v>30</v>
      </c>
      <c r="H88" s="1" t="s">
        <v>31</v>
      </c>
      <c r="I88" s="1" t="s">
        <v>350</v>
      </c>
      <c r="J88" s="3">
        <v>898</v>
      </c>
      <c r="K88" s="3">
        <v>84.96</v>
      </c>
      <c r="L88" s="1" t="s">
        <v>23</v>
      </c>
      <c r="M88" s="1" t="s">
        <v>24</v>
      </c>
    </row>
    <row r="89" spans="1:13" ht="15.75">
      <c r="A89" s="1" t="s">
        <v>351</v>
      </c>
      <c r="B89" s="6">
        <v>44476</v>
      </c>
      <c r="C89" s="9" t="s">
        <v>26</v>
      </c>
      <c r="D89" s="1" t="s">
        <v>280</v>
      </c>
      <c r="E89" s="1" t="s">
        <v>352</v>
      </c>
      <c r="F89" s="1" t="s">
        <v>60</v>
      </c>
      <c r="G89" s="1" t="s">
        <v>300</v>
      </c>
      <c r="H89" s="1" t="s">
        <v>301</v>
      </c>
      <c r="I89" s="1" t="s">
        <v>22</v>
      </c>
      <c r="J89" s="3" t="s">
        <v>23</v>
      </c>
      <c r="K89" s="3">
        <v>84.96</v>
      </c>
      <c r="L89" s="1" t="s">
        <v>23</v>
      </c>
      <c r="M89" s="1" t="s">
        <v>24</v>
      </c>
    </row>
    <row r="90" spans="1:13" ht="15.75">
      <c r="A90" s="1" t="s">
        <v>353</v>
      </c>
      <c r="B90" s="6">
        <v>44515</v>
      </c>
      <c r="C90" s="9" t="s">
        <v>33</v>
      </c>
      <c r="D90" s="1" t="s">
        <v>354</v>
      </c>
      <c r="E90" s="1" t="s">
        <v>355</v>
      </c>
      <c r="F90" s="1" t="s">
        <v>224</v>
      </c>
      <c r="G90" s="1" t="s">
        <v>67</v>
      </c>
      <c r="H90" s="1" t="s">
        <v>68</v>
      </c>
      <c r="I90" s="1" t="s">
        <v>22</v>
      </c>
      <c r="J90" s="3">
        <v>399</v>
      </c>
      <c r="K90" s="3">
        <v>210.04</v>
      </c>
      <c r="L90" s="1" t="s">
        <v>23</v>
      </c>
      <c r="M90" s="1" t="s">
        <v>24</v>
      </c>
    </row>
    <row r="91" spans="1:13" ht="15.75">
      <c r="A91" s="1" t="s">
        <v>356</v>
      </c>
      <c r="B91" s="6">
        <v>44403</v>
      </c>
      <c r="C91" s="9" t="s">
        <v>17</v>
      </c>
      <c r="D91" s="1" t="s">
        <v>357</v>
      </c>
      <c r="E91" s="1" t="s">
        <v>318</v>
      </c>
      <c r="F91" s="1" t="s">
        <v>92</v>
      </c>
      <c r="G91" s="1" t="s">
        <v>358</v>
      </c>
      <c r="H91" s="1" t="s">
        <v>359</v>
      </c>
      <c r="I91" s="1" t="s">
        <v>22</v>
      </c>
      <c r="J91" s="3">
        <v>449</v>
      </c>
      <c r="K91" s="3" t="s">
        <v>23</v>
      </c>
      <c r="L91" s="1" t="s">
        <v>23</v>
      </c>
      <c r="M91" s="1" t="s">
        <v>24</v>
      </c>
    </row>
    <row r="92" spans="1:13" ht="15.75">
      <c r="A92" s="1" t="s">
        <v>360</v>
      </c>
      <c r="B92" s="6">
        <v>44428</v>
      </c>
      <c r="C92" s="9" t="s">
        <v>57</v>
      </c>
      <c r="D92" s="1" t="s">
        <v>361</v>
      </c>
      <c r="E92" s="1" t="s">
        <v>257</v>
      </c>
      <c r="F92" s="1" t="s">
        <v>202</v>
      </c>
      <c r="G92" s="1" t="s">
        <v>362</v>
      </c>
      <c r="H92" s="1" t="s">
        <v>363</v>
      </c>
      <c r="I92" s="1" t="s">
        <v>22</v>
      </c>
      <c r="J92" s="3">
        <v>1099</v>
      </c>
      <c r="K92" s="3" t="s">
        <v>23</v>
      </c>
      <c r="L92" s="1" t="s">
        <v>41</v>
      </c>
      <c r="M92" s="1" t="s">
        <v>24</v>
      </c>
    </row>
    <row r="93" spans="1:13" ht="15.75">
      <c r="A93" s="1" t="s">
        <v>364</v>
      </c>
      <c r="B93" s="6">
        <v>44525</v>
      </c>
      <c r="C93" s="9" t="s">
        <v>33</v>
      </c>
      <c r="D93" s="1" t="s">
        <v>365</v>
      </c>
      <c r="E93" s="1" t="s">
        <v>133</v>
      </c>
      <c r="F93" s="1" t="s">
        <v>84</v>
      </c>
      <c r="G93" s="1" t="s">
        <v>154</v>
      </c>
      <c r="H93" s="1" t="s">
        <v>155</v>
      </c>
      <c r="I93" s="1" t="s">
        <v>22</v>
      </c>
      <c r="J93" s="3">
        <v>399</v>
      </c>
      <c r="K93" s="3">
        <v>84.96</v>
      </c>
      <c r="L93" s="1" t="s">
        <v>23</v>
      </c>
      <c r="M93" s="1" t="s">
        <v>24</v>
      </c>
    </row>
    <row r="94" spans="1:13" ht="15.75">
      <c r="A94" s="1" t="s">
        <v>366</v>
      </c>
      <c r="B94" s="6">
        <v>44476</v>
      </c>
      <c r="C94" s="9" t="s">
        <v>26</v>
      </c>
      <c r="D94" s="1" t="s">
        <v>367</v>
      </c>
      <c r="E94" s="1" t="s">
        <v>216</v>
      </c>
      <c r="F94" s="1" t="s">
        <v>213</v>
      </c>
      <c r="G94" s="1" t="s">
        <v>61</v>
      </c>
      <c r="H94" s="1" t="s">
        <v>62</v>
      </c>
      <c r="I94" s="1" t="s">
        <v>22</v>
      </c>
      <c r="J94" s="3">
        <v>649</v>
      </c>
      <c r="K94" s="3">
        <v>60.18</v>
      </c>
      <c r="L94" s="1" t="s">
        <v>41</v>
      </c>
      <c r="M94" s="1" t="s">
        <v>24</v>
      </c>
    </row>
    <row r="95" spans="1:13" ht="15.75">
      <c r="A95" s="1" t="s">
        <v>368</v>
      </c>
      <c r="B95" s="6">
        <v>44426</v>
      </c>
      <c r="C95" s="9" t="s">
        <v>57</v>
      </c>
      <c r="D95" s="1" t="s">
        <v>369</v>
      </c>
      <c r="E95" s="1" t="s">
        <v>45</v>
      </c>
      <c r="F95" s="1" t="s">
        <v>46</v>
      </c>
      <c r="G95" s="1" t="s">
        <v>118</v>
      </c>
      <c r="H95" s="1" t="s">
        <v>119</v>
      </c>
      <c r="I95" s="1" t="s">
        <v>22</v>
      </c>
      <c r="J95" s="3">
        <v>399</v>
      </c>
      <c r="K95" s="3" t="s">
        <v>23</v>
      </c>
      <c r="L95" s="1" t="s">
        <v>23</v>
      </c>
      <c r="M95" s="1" t="s">
        <v>24</v>
      </c>
    </row>
    <row r="96" spans="1:13" ht="15.75">
      <c r="A96" s="1" t="s">
        <v>370</v>
      </c>
      <c r="B96" s="6">
        <v>44516</v>
      </c>
      <c r="C96" s="9" t="s">
        <v>33</v>
      </c>
      <c r="D96" s="1" t="s">
        <v>333</v>
      </c>
      <c r="E96" s="1" t="s">
        <v>117</v>
      </c>
      <c r="F96" s="1" t="s">
        <v>38</v>
      </c>
      <c r="G96" s="1" t="s">
        <v>336</v>
      </c>
      <c r="H96" s="1" t="s">
        <v>337</v>
      </c>
      <c r="I96" s="1" t="s">
        <v>22</v>
      </c>
      <c r="J96" s="3">
        <v>399</v>
      </c>
      <c r="K96" s="3">
        <v>84.96</v>
      </c>
      <c r="L96" s="1" t="s">
        <v>23</v>
      </c>
      <c r="M96" s="1" t="s">
        <v>24</v>
      </c>
    </row>
    <row r="97" spans="1:13" ht="15.75">
      <c r="A97" s="1" t="s">
        <v>371</v>
      </c>
      <c r="B97" s="6">
        <v>44513</v>
      </c>
      <c r="C97" s="9" t="s">
        <v>33</v>
      </c>
      <c r="D97" s="1" t="s">
        <v>372</v>
      </c>
      <c r="E97" s="1" t="s">
        <v>201</v>
      </c>
      <c r="F97" s="1" t="s">
        <v>202</v>
      </c>
      <c r="G97" s="1" t="s">
        <v>20</v>
      </c>
      <c r="H97" s="1" t="s">
        <v>21</v>
      </c>
      <c r="I97" s="1" t="s">
        <v>22</v>
      </c>
      <c r="J97" s="3">
        <v>449</v>
      </c>
      <c r="K97" s="3">
        <v>84.96</v>
      </c>
      <c r="L97" s="1" t="s">
        <v>23</v>
      </c>
      <c r="M97" s="1" t="s">
        <v>24</v>
      </c>
    </row>
    <row r="98" spans="1:13" ht="15.75">
      <c r="A98" s="1" t="s">
        <v>373</v>
      </c>
      <c r="B98" s="6">
        <v>44455</v>
      </c>
      <c r="C98" s="9" t="s">
        <v>43</v>
      </c>
      <c r="D98" s="1" t="s">
        <v>374</v>
      </c>
      <c r="E98" s="1" t="s">
        <v>375</v>
      </c>
      <c r="F98" s="1" t="s">
        <v>60</v>
      </c>
      <c r="G98" s="1" t="s">
        <v>154</v>
      </c>
      <c r="H98" s="1" t="s">
        <v>155</v>
      </c>
      <c r="I98" s="1" t="s">
        <v>22</v>
      </c>
      <c r="J98" s="3" t="s">
        <v>23</v>
      </c>
      <c r="K98" s="3">
        <v>84.96</v>
      </c>
      <c r="L98" s="1" t="s">
        <v>23</v>
      </c>
      <c r="M98" s="1" t="s">
        <v>24</v>
      </c>
    </row>
    <row r="99" spans="1:13" ht="15.75">
      <c r="A99" s="1" t="s">
        <v>376</v>
      </c>
      <c r="B99" s="6">
        <v>44518</v>
      </c>
      <c r="C99" s="9" t="s">
        <v>33</v>
      </c>
      <c r="D99" s="1" t="s">
        <v>132</v>
      </c>
      <c r="E99" s="1" t="s">
        <v>133</v>
      </c>
      <c r="F99" s="1" t="s">
        <v>84</v>
      </c>
      <c r="G99" s="1" t="s">
        <v>30</v>
      </c>
      <c r="H99" s="1" t="s">
        <v>31</v>
      </c>
      <c r="I99" s="1" t="s">
        <v>377</v>
      </c>
      <c r="J99" s="3">
        <v>1347</v>
      </c>
      <c r="K99" s="3">
        <v>84.96</v>
      </c>
      <c r="L99" s="1" t="s">
        <v>23</v>
      </c>
      <c r="M99" s="1" t="s">
        <v>24</v>
      </c>
    </row>
    <row r="100" spans="1:13" ht="15.75">
      <c r="A100" s="1" t="s">
        <v>378</v>
      </c>
      <c r="B100" s="6">
        <v>44478</v>
      </c>
      <c r="C100" s="9" t="s">
        <v>26</v>
      </c>
      <c r="D100" s="1" t="s">
        <v>379</v>
      </c>
      <c r="E100" s="1" t="s">
        <v>152</v>
      </c>
      <c r="F100" s="1" t="s">
        <v>153</v>
      </c>
      <c r="G100" s="1" t="s">
        <v>330</v>
      </c>
      <c r="H100" s="1" t="s">
        <v>331</v>
      </c>
      <c r="I100" s="1" t="s">
        <v>22</v>
      </c>
      <c r="J100" s="3">
        <v>549</v>
      </c>
      <c r="K100" s="3">
        <v>84.96</v>
      </c>
      <c r="L100" s="1" t="s">
        <v>23</v>
      </c>
      <c r="M100" s="1" t="s">
        <v>24</v>
      </c>
    </row>
    <row r="101" spans="1:13" ht="15.75">
      <c r="A101" s="1" t="s">
        <v>380</v>
      </c>
      <c r="B101" s="6">
        <v>44416</v>
      </c>
      <c r="C101" s="9" t="s">
        <v>57</v>
      </c>
      <c r="D101" s="1" t="s">
        <v>381</v>
      </c>
      <c r="E101" s="1" t="s">
        <v>71</v>
      </c>
      <c r="F101" s="1" t="s">
        <v>72</v>
      </c>
      <c r="G101" s="1" t="s">
        <v>192</v>
      </c>
      <c r="H101" s="1" t="s">
        <v>193</v>
      </c>
      <c r="I101" s="1" t="s">
        <v>22</v>
      </c>
      <c r="J101" s="3">
        <v>399</v>
      </c>
      <c r="K101" s="3" t="s">
        <v>23</v>
      </c>
      <c r="L101" s="1" t="s">
        <v>41</v>
      </c>
      <c r="M101" s="1" t="s">
        <v>24</v>
      </c>
    </row>
    <row r="102" spans="1:13" ht="15.75">
      <c r="A102" s="1" t="s">
        <v>382</v>
      </c>
      <c r="B102" s="6">
        <v>44252</v>
      </c>
      <c r="C102" s="9" t="s">
        <v>383</v>
      </c>
      <c r="D102" s="1" t="s">
        <v>384</v>
      </c>
      <c r="E102" s="1" t="s">
        <v>385</v>
      </c>
      <c r="F102" s="1" t="s">
        <v>53</v>
      </c>
      <c r="G102" s="1" t="s">
        <v>386</v>
      </c>
      <c r="H102" s="1" t="s">
        <v>387</v>
      </c>
      <c r="I102" s="1" t="s">
        <v>22</v>
      </c>
      <c r="J102" s="3">
        <v>449</v>
      </c>
      <c r="K102" s="3">
        <v>60.18</v>
      </c>
      <c r="L102" s="1" t="s">
        <v>23</v>
      </c>
      <c r="M102" s="1" t="s">
        <v>24</v>
      </c>
    </row>
    <row r="103" spans="1:13" ht="15.75">
      <c r="A103" s="1" t="s">
        <v>388</v>
      </c>
      <c r="B103" s="6">
        <v>44223</v>
      </c>
      <c r="C103" s="9" t="s">
        <v>389</v>
      </c>
      <c r="D103" s="1" t="s">
        <v>390</v>
      </c>
      <c r="E103" s="1" t="s">
        <v>152</v>
      </c>
      <c r="F103" s="1" t="s">
        <v>153</v>
      </c>
      <c r="G103" s="1" t="s">
        <v>310</v>
      </c>
      <c r="H103" s="1" t="s">
        <v>311</v>
      </c>
      <c r="I103" s="1" t="s">
        <v>22</v>
      </c>
      <c r="J103" s="3">
        <v>549</v>
      </c>
      <c r="K103" s="3">
        <v>84.96</v>
      </c>
      <c r="L103" s="1" t="s">
        <v>41</v>
      </c>
      <c r="M103" s="1" t="s">
        <v>24</v>
      </c>
    </row>
    <row r="104" spans="1:13" ht="15.75">
      <c r="A104" s="1" t="s">
        <v>391</v>
      </c>
      <c r="B104" s="6">
        <v>44226</v>
      </c>
      <c r="C104" s="9" t="s">
        <v>389</v>
      </c>
      <c r="D104" s="1" t="s">
        <v>392</v>
      </c>
      <c r="E104" s="1" t="s">
        <v>45</v>
      </c>
      <c r="F104" s="1" t="s">
        <v>46</v>
      </c>
      <c r="G104" s="1" t="s">
        <v>300</v>
      </c>
      <c r="H104" s="1" t="s">
        <v>393</v>
      </c>
      <c r="I104" s="1" t="s">
        <v>22</v>
      </c>
      <c r="J104" s="3">
        <v>499</v>
      </c>
      <c r="K104" s="3">
        <v>84.96</v>
      </c>
      <c r="L104" s="1" t="s">
        <v>23</v>
      </c>
      <c r="M104" s="1" t="s">
        <v>24</v>
      </c>
    </row>
    <row r="105" spans="1:13" ht="15.75">
      <c r="A105" s="1" t="s">
        <v>394</v>
      </c>
      <c r="B105" s="6">
        <v>44221</v>
      </c>
      <c r="C105" s="9" t="s">
        <v>389</v>
      </c>
      <c r="D105" s="1" t="s">
        <v>395</v>
      </c>
      <c r="E105" s="1" t="s">
        <v>396</v>
      </c>
      <c r="F105" s="1" t="s">
        <v>315</v>
      </c>
      <c r="G105" s="1" t="s">
        <v>30</v>
      </c>
      <c r="H105" s="1" t="s">
        <v>31</v>
      </c>
      <c r="I105" s="1" t="s">
        <v>22</v>
      </c>
      <c r="J105" s="3">
        <v>449</v>
      </c>
      <c r="K105" s="3">
        <v>84.96</v>
      </c>
      <c r="L105" s="1" t="s">
        <v>41</v>
      </c>
      <c r="M105" s="1" t="s">
        <v>24</v>
      </c>
    </row>
    <row r="106" spans="1:13" ht="15.75">
      <c r="A106" s="1" t="s">
        <v>397</v>
      </c>
      <c r="B106" s="6">
        <v>44533</v>
      </c>
      <c r="C106" s="9" t="s">
        <v>398</v>
      </c>
      <c r="D106" s="1" t="s">
        <v>399</v>
      </c>
      <c r="E106" s="1" t="s">
        <v>400</v>
      </c>
      <c r="F106" s="1" t="s">
        <v>53</v>
      </c>
      <c r="G106" s="1" t="s">
        <v>61</v>
      </c>
      <c r="H106" s="1" t="s">
        <v>62</v>
      </c>
      <c r="I106" s="1" t="s">
        <v>22</v>
      </c>
      <c r="J106" s="3">
        <v>649</v>
      </c>
      <c r="K106" s="3">
        <v>60.18</v>
      </c>
      <c r="L106" s="1" t="s">
        <v>23</v>
      </c>
      <c r="M106" s="1" t="s">
        <v>24</v>
      </c>
    </row>
    <row r="107" spans="1:13" ht="15.75">
      <c r="A107" s="1" t="s">
        <v>401</v>
      </c>
      <c r="B107" s="6">
        <v>44529</v>
      </c>
      <c r="C107" s="9" t="s">
        <v>33</v>
      </c>
      <c r="D107" s="1" t="s">
        <v>402</v>
      </c>
      <c r="E107" s="1" t="s">
        <v>403</v>
      </c>
      <c r="F107" s="1" t="s">
        <v>60</v>
      </c>
      <c r="G107" s="1" t="s">
        <v>404</v>
      </c>
      <c r="H107" s="1" t="s">
        <v>405</v>
      </c>
      <c r="I107" s="1" t="s">
        <v>22</v>
      </c>
      <c r="J107" s="3">
        <v>399</v>
      </c>
      <c r="K107" s="3">
        <v>84.96</v>
      </c>
      <c r="L107" s="1" t="s">
        <v>23</v>
      </c>
      <c r="M107" s="1" t="s">
        <v>24</v>
      </c>
    </row>
    <row r="108" spans="1:13" ht="15.75">
      <c r="A108" s="1" t="s">
        <v>406</v>
      </c>
      <c r="B108" s="6">
        <v>44553</v>
      </c>
      <c r="C108" s="9" t="s">
        <v>398</v>
      </c>
      <c r="D108" s="1" t="s">
        <v>407</v>
      </c>
      <c r="E108" s="1" t="s">
        <v>71</v>
      </c>
      <c r="F108" s="1" t="s">
        <v>72</v>
      </c>
      <c r="G108" s="1" t="s">
        <v>113</v>
      </c>
      <c r="H108" s="1" t="s">
        <v>114</v>
      </c>
      <c r="I108" s="1" t="s">
        <v>22</v>
      </c>
      <c r="J108" s="3" t="s">
        <v>23</v>
      </c>
      <c r="K108" s="3">
        <v>84.96</v>
      </c>
      <c r="L108" s="1" t="s">
        <v>23</v>
      </c>
      <c r="M108" s="1" t="s">
        <v>24</v>
      </c>
    </row>
    <row r="109" spans="1:13" ht="15.75">
      <c r="A109" s="1" t="s">
        <v>408</v>
      </c>
      <c r="B109" s="6">
        <v>44237</v>
      </c>
      <c r="C109" s="9" t="s">
        <v>383</v>
      </c>
      <c r="D109" s="1" t="s">
        <v>409</v>
      </c>
      <c r="E109" s="1" t="s">
        <v>19</v>
      </c>
      <c r="F109" s="1" t="s">
        <v>19</v>
      </c>
      <c r="G109" s="1" t="s">
        <v>192</v>
      </c>
      <c r="H109" s="1" t="s">
        <v>410</v>
      </c>
      <c r="I109" s="1" t="s">
        <v>22</v>
      </c>
      <c r="J109" s="3">
        <v>475</v>
      </c>
      <c r="K109" s="3">
        <v>84.96</v>
      </c>
      <c r="L109" s="1" t="s">
        <v>41</v>
      </c>
      <c r="M109" s="1" t="s">
        <v>24</v>
      </c>
    </row>
    <row r="110" spans="1:13" ht="15.75">
      <c r="A110" s="1" t="s">
        <v>411</v>
      </c>
      <c r="B110" s="6">
        <v>44252</v>
      </c>
      <c r="C110" s="9" t="s">
        <v>383</v>
      </c>
      <c r="D110" s="1" t="s">
        <v>412</v>
      </c>
      <c r="E110" s="1" t="s">
        <v>413</v>
      </c>
      <c r="F110" s="1" t="s">
        <v>38</v>
      </c>
      <c r="G110" s="1" t="s">
        <v>234</v>
      </c>
      <c r="H110" s="1" t="s">
        <v>414</v>
      </c>
      <c r="I110" s="1" t="s">
        <v>22</v>
      </c>
      <c r="J110" s="3">
        <v>399</v>
      </c>
      <c r="K110" s="3">
        <v>84.96</v>
      </c>
      <c r="L110" s="1" t="s">
        <v>41</v>
      </c>
      <c r="M110" s="1" t="s">
        <v>24</v>
      </c>
    </row>
    <row r="111" spans="1:13" ht="15.75">
      <c r="A111" s="1" t="s">
        <v>415</v>
      </c>
      <c r="B111" s="6">
        <v>44556</v>
      </c>
      <c r="C111" s="9" t="s">
        <v>398</v>
      </c>
      <c r="D111" s="1" t="s">
        <v>416</v>
      </c>
      <c r="E111" s="1" t="s">
        <v>417</v>
      </c>
      <c r="F111" s="1" t="s">
        <v>53</v>
      </c>
      <c r="G111" s="1" t="s">
        <v>418</v>
      </c>
      <c r="H111" s="1" t="s">
        <v>419</v>
      </c>
      <c r="I111" s="1" t="s">
        <v>22</v>
      </c>
      <c r="J111" s="3">
        <v>1299</v>
      </c>
      <c r="K111" s="3">
        <v>80.239999999999995</v>
      </c>
      <c r="L111" s="1" t="s">
        <v>23</v>
      </c>
      <c r="M111" s="1" t="s">
        <v>24</v>
      </c>
    </row>
    <row r="112" spans="1:13" ht="15.75">
      <c r="A112" s="1" t="s">
        <v>420</v>
      </c>
      <c r="B112" s="6">
        <v>44215</v>
      </c>
      <c r="C112" s="9" t="s">
        <v>389</v>
      </c>
      <c r="D112" s="1" t="s">
        <v>421</v>
      </c>
      <c r="E112" s="1" t="s">
        <v>19</v>
      </c>
      <c r="F112" s="1" t="s">
        <v>19</v>
      </c>
      <c r="G112" s="1" t="s">
        <v>20</v>
      </c>
      <c r="H112" s="1" t="s">
        <v>21</v>
      </c>
      <c r="I112" s="1" t="s">
        <v>22</v>
      </c>
      <c r="J112" s="3">
        <v>449</v>
      </c>
      <c r="K112" s="3">
        <v>84.96</v>
      </c>
      <c r="L112" s="1" t="s">
        <v>23</v>
      </c>
      <c r="M112" s="1" t="s">
        <v>24</v>
      </c>
    </row>
    <row r="113" spans="1:13" ht="15.75">
      <c r="A113" s="1" t="s">
        <v>422</v>
      </c>
      <c r="B113" s="6">
        <v>44539</v>
      </c>
      <c r="C113" s="9" t="s">
        <v>398</v>
      </c>
      <c r="D113" s="1" t="s">
        <v>423</v>
      </c>
      <c r="E113" s="1" t="s">
        <v>403</v>
      </c>
      <c r="F113" s="1" t="s">
        <v>60</v>
      </c>
      <c r="G113" s="1" t="s">
        <v>258</v>
      </c>
      <c r="H113" s="1" t="s">
        <v>259</v>
      </c>
      <c r="I113" s="1" t="s">
        <v>22</v>
      </c>
      <c r="J113" s="3">
        <v>1299</v>
      </c>
      <c r="K113" s="3">
        <v>146.32</v>
      </c>
      <c r="L113" s="1" t="s">
        <v>23</v>
      </c>
      <c r="M113" s="1" t="s">
        <v>24</v>
      </c>
    </row>
    <row r="114" spans="1:13" ht="15.75">
      <c r="A114" s="1" t="s">
        <v>424</v>
      </c>
      <c r="B114" s="6">
        <v>44547</v>
      </c>
      <c r="C114" s="9" t="s">
        <v>398</v>
      </c>
      <c r="D114" s="1" t="s">
        <v>425</v>
      </c>
      <c r="E114" s="1" t="s">
        <v>426</v>
      </c>
      <c r="F114" s="1" t="s">
        <v>427</v>
      </c>
      <c r="G114" s="1" t="s">
        <v>428</v>
      </c>
      <c r="H114" s="1" t="s">
        <v>429</v>
      </c>
      <c r="I114" s="1" t="s">
        <v>22</v>
      </c>
      <c r="J114" s="3">
        <v>549</v>
      </c>
      <c r="K114" s="3">
        <v>60.18</v>
      </c>
      <c r="L114" s="1" t="s">
        <v>41</v>
      </c>
      <c r="M114" s="1" t="s">
        <v>24</v>
      </c>
    </row>
    <row r="115" spans="1:13" ht="15.75">
      <c r="A115" s="1" t="s">
        <v>430</v>
      </c>
      <c r="B115" s="6">
        <v>44538</v>
      </c>
      <c r="C115" s="9" t="s">
        <v>398</v>
      </c>
      <c r="D115" s="1" t="s">
        <v>431</v>
      </c>
      <c r="E115" s="1" t="s">
        <v>133</v>
      </c>
      <c r="F115" s="1" t="s">
        <v>84</v>
      </c>
      <c r="G115" s="1" t="s">
        <v>192</v>
      </c>
      <c r="H115" s="1" t="s">
        <v>193</v>
      </c>
      <c r="I115" s="1" t="s">
        <v>22</v>
      </c>
      <c r="J115" s="3">
        <v>399</v>
      </c>
      <c r="K115" s="3">
        <v>84.96</v>
      </c>
      <c r="L115" s="1" t="s">
        <v>23</v>
      </c>
      <c r="M115" s="1" t="s">
        <v>24</v>
      </c>
    </row>
    <row r="116" spans="1:13" ht="15.75">
      <c r="A116" s="1" t="s">
        <v>432</v>
      </c>
      <c r="B116" s="6">
        <v>44219</v>
      </c>
      <c r="C116" s="9" t="s">
        <v>389</v>
      </c>
      <c r="D116" s="1" t="s">
        <v>433</v>
      </c>
      <c r="E116" s="1" t="s">
        <v>223</v>
      </c>
      <c r="F116" s="1" t="s">
        <v>224</v>
      </c>
      <c r="G116" s="1" t="s">
        <v>434</v>
      </c>
      <c r="H116" s="1" t="s">
        <v>435</v>
      </c>
      <c r="I116" s="1" t="s">
        <v>22</v>
      </c>
      <c r="J116" s="3" t="s">
        <v>23</v>
      </c>
      <c r="K116" s="3">
        <v>84.96</v>
      </c>
      <c r="L116" s="1" t="s">
        <v>23</v>
      </c>
      <c r="M116" s="1" t="s">
        <v>63</v>
      </c>
    </row>
    <row r="117" spans="1:13" ht="15.75">
      <c r="A117" s="1" t="s">
        <v>436</v>
      </c>
      <c r="B117" s="6">
        <v>44226</v>
      </c>
      <c r="C117" s="9" t="s">
        <v>389</v>
      </c>
      <c r="D117" s="1" t="s">
        <v>437</v>
      </c>
      <c r="E117" s="1" t="s">
        <v>117</v>
      </c>
      <c r="F117" s="1" t="s">
        <v>38</v>
      </c>
      <c r="G117" s="1" t="s">
        <v>20</v>
      </c>
      <c r="H117" s="1" t="s">
        <v>21</v>
      </c>
      <c r="I117" s="1" t="s">
        <v>22</v>
      </c>
      <c r="J117" s="3" t="s">
        <v>23</v>
      </c>
      <c r="K117" s="3">
        <v>84.96</v>
      </c>
      <c r="L117" s="1" t="s">
        <v>41</v>
      </c>
      <c r="M117" s="1" t="s">
        <v>24</v>
      </c>
    </row>
    <row r="118" spans="1:13" ht="15.75">
      <c r="A118" s="1" t="s">
        <v>438</v>
      </c>
      <c r="B118" s="6">
        <v>44536</v>
      </c>
      <c r="C118" s="9" t="s">
        <v>398</v>
      </c>
      <c r="D118" s="1" t="s">
        <v>439</v>
      </c>
      <c r="E118" s="1" t="s">
        <v>440</v>
      </c>
      <c r="F118" s="1" t="s">
        <v>46</v>
      </c>
      <c r="G118" s="1" t="s">
        <v>258</v>
      </c>
      <c r="H118" s="1" t="s">
        <v>259</v>
      </c>
      <c r="I118" s="1" t="s">
        <v>22</v>
      </c>
      <c r="J118" s="3">
        <v>1299</v>
      </c>
      <c r="K118" s="3">
        <v>114.46</v>
      </c>
      <c r="L118" s="1" t="s">
        <v>41</v>
      </c>
      <c r="M118" s="1" t="s">
        <v>24</v>
      </c>
    </row>
    <row r="119" spans="1:13" ht="15.75">
      <c r="A119" s="1" t="s">
        <v>441</v>
      </c>
      <c r="B119" s="6">
        <v>44551</v>
      </c>
      <c r="C119" s="9" t="s">
        <v>398</v>
      </c>
      <c r="D119" s="1" t="s">
        <v>442</v>
      </c>
      <c r="E119" s="1" t="s">
        <v>417</v>
      </c>
      <c r="F119" s="1" t="s">
        <v>53</v>
      </c>
      <c r="G119" s="1" t="s">
        <v>258</v>
      </c>
      <c r="H119" s="1" t="s">
        <v>259</v>
      </c>
      <c r="I119" s="1" t="s">
        <v>377</v>
      </c>
      <c r="J119" s="3">
        <v>3897</v>
      </c>
      <c r="K119" s="3">
        <v>133.34</v>
      </c>
      <c r="L119" s="1" t="s">
        <v>23</v>
      </c>
      <c r="M119" s="1" t="s">
        <v>24</v>
      </c>
    </row>
    <row r="120" spans="1:13" ht="15.75">
      <c r="A120" s="1" t="s">
        <v>443</v>
      </c>
      <c r="B120" s="6">
        <v>44539</v>
      </c>
      <c r="C120" s="9" t="s">
        <v>398</v>
      </c>
      <c r="D120" s="1" t="s">
        <v>208</v>
      </c>
      <c r="E120" s="1" t="s">
        <v>209</v>
      </c>
      <c r="F120" s="1" t="s">
        <v>46</v>
      </c>
      <c r="G120" s="1" t="s">
        <v>30</v>
      </c>
      <c r="H120" s="1" t="s">
        <v>31</v>
      </c>
      <c r="I120" s="1" t="s">
        <v>22</v>
      </c>
      <c r="J120" s="3">
        <v>449</v>
      </c>
      <c r="K120" s="3">
        <v>84.96</v>
      </c>
      <c r="L120" s="1" t="s">
        <v>23</v>
      </c>
      <c r="M120" s="1" t="s">
        <v>24</v>
      </c>
    </row>
    <row r="121" spans="1:13" ht="15.75">
      <c r="A121" s="1" t="s">
        <v>444</v>
      </c>
      <c r="B121" s="6">
        <v>44531</v>
      </c>
      <c r="C121" s="9" t="s">
        <v>398</v>
      </c>
      <c r="D121" s="1" t="s">
        <v>445</v>
      </c>
      <c r="E121" s="1" t="s">
        <v>446</v>
      </c>
      <c r="F121" s="1" t="s">
        <v>159</v>
      </c>
      <c r="G121" s="1" t="s">
        <v>184</v>
      </c>
      <c r="H121" s="1" t="s">
        <v>185</v>
      </c>
      <c r="I121" s="1" t="s">
        <v>22</v>
      </c>
      <c r="J121" s="3">
        <v>449</v>
      </c>
      <c r="K121" s="3">
        <v>84.96</v>
      </c>
      <c r="L121" s="1" t="s">
        <v>23</v>
      </c>
      <c r="M121" s="1" t="s">
        <v>24</v>
      </c>
    </row>
    <row r="122" spans="1:13" ht="15.75">
      <c r="A122" s="1" t="s">
        <v>447</v>
      </c>
      <c r="B122" s="6">
        <v>44534</v>
      </c>
      <c r="C122" s="9" t="s">
        <v>398</v>
      </c>
      <c r="D122" s="1" t="s">
        <v>448</v>
      </c>
      <c r="E122" s="1" t="s">
        <v>449</v>
      </c>
      <c r="F122" s="1" t="s">
        <v>92</v>
      </c>
      <c r="G122" s="1" t="s">
        <v>450</v>
      </c>
      <c r="H122" s="1" t="s">
        <v>451</v>
      </c>
      <c r="I122" s="1" t="s">
        <v>22</v>
      </c>
      <c r="J122" s="3">
        <v>1499</v>
      </c>
      <c r="K122" s="3">
        <v>114.46</v>
      </c>
      <c r="L122" s="1" t="s">
        <v>23</v>
      </c>
      <c r="M122" s="1" t="s">
        <v>24</v>
      </c>
    </row>
    <row r="123" spans="1:13" ht="15.75">
      <c r="A123" s="1" t="s">
        <v>452</v>
      </c>
      <c r="B123" s="6">
        <v>44551</v>
      </c>
      <c r="C123" s="9" t="s">
        <v>398</v>
      </c>
      <c r="D123" s="1" t="s">
        <v>442</v>
      </c>
      <c r="E123" s="1" t="s">
        <v>318</v>
      </c>
      <c r="F123" s="1" t="s">
        <v>92</v>
      </c>
      <c r="G123" s="1" t="s">
        <v>258</v>
      </c>
      <c r="H123" s="1" t="s">
        <v>259</v>
      </c>
      <c r="I123" s="1" t="s">
        <v>377</v>
      </c>
      <c r="J123" s="3">
        <v>3897</v>
      </c>
      <c r="K123" s="3">
        <v>241.9</v>
      </c>
      <c r="L123" s="1" t="s">
        <v>23</v>
      </c>
      <c r="M123" s="1" t="s">
        <v>24</v>
      </c>
    </row>
    <row r="124" spans="1:13" ht="15.75">
      <c r="A124" s="1" t="s">
        <v>453</v>
      </c>
      <c r="B124" s="6">
        <v>44536</v>
      </c>
      <c r="C124" s="9" t="s">
        <v>398</v>
      </c>
      <c r="D124" s="1" t="s">
        <v>248</v>
      </c>
      <c r="E124" s="1" t="s">
        <v>454</v>
      </c>
      <c r="F124" s="1" t="s">
        <v>46</v>
      </c>
      <c r="G124" s="1" t="s">
        <v>455</v>
      </c>
      <c r="H124" s="1" t="s">
        <v>456</v>
      </c>
      <c r="I124" s="1" t="s">
        <v>22</v>
      </c>
      <c r="J124" s="3">
        <v>349</v>
      </c>
      <c r="K124" s="3">
        <v>84.96</v>
      </c>
      <c r="L124" s="1" t="s">
        <v>23</v>
      </c>
      <c r="M124" s="1" t="s">
        <v>24</v>
      </c>
    </row>
    <row r="125" spans="1:13" ht="15.75">
      <c r="A125" s="1" t="s">
        <v>457</v>
      </c>
      <c r="B125" s="6">
        <v>44543</v>
      </c>
      <c r="C125" s="9" t="s">
        <v>398</v>
      </c>
      <c r="D125" s="1" t="s">
        <v>458</v>
      </c>
      <c r="E125" s="1" t="s">
        <v>117</v>
      </c>
      <c r="F125" s="1" t="s">
        <v>38</v>
      </c>
      <c r="G125" s="1" t="s">
        <v>459</v>
      </c>
      <c r="H125" s="1" t="s">
        <v>460</v>
      </c>
      <c r="I125" s="1" t="s">
        <v>22</v>
      </c>
      <c r="J125" s="3">
        <v>449</v>
      </c>
      <c r="K125" s="3">
        <v>84.96</v>
      </c>
      <c r="L125" s="1" t="s">
        <v>23</v>
      </c>
      <c r="M125" s="1" t="s">
        <v>24</v>
      </c>
    </row>
    <row r="126" spans="1:13" ht="15.75">
      <c r="A126" s="1" t="s">
        <v>461</v>
      </c>
      <c r="B126" s="6">
        <v>44532</v>
      </c>
      <c r="C126" s="9" t="s">
        <v>398</v>
      </c>
      <c r="D126" s="1" t="s">
        <v>462</v>
      </c>
      <c r="E126" s="1" t="s">
        <v>463</v>
      </c>
      <c r="F126" s="1" t="s">
        <v>464</v>
      </c>
      <c r="G126" s="1" t="s">
        <v>184</v>
      </c>
      <c r="H126" s="1" t="s">
        <v>185</v>
      </c>
      <c r="I126" s="1" t="s">
        <v>22</v>
      </c>
      <c r="J126" s="3">
        <v>449</v>
      </c>
      <c r="K126" s="3">
        <v>84.96</v>
      </c>
      <c r="L126" s="1" t="s">
        <v>23</v>
      </c>
      <c r="M126" s="1" t="s">
        <v>24</v>
      </c>
    </row>
    <row r="127" spans="1:13" ht="15.75">
      <c r="A127" s="1" t="s">
        <v>465</v>
      </c>
      <c r="B127" s="6">
        <v>44534</v>
      </c>
      <c r="C127" s="9" t="s">
        <v>398</v>
      </c>
      <c r="D127" s="1" t="s">
        <v>466</v>
      </c>
      <c r="E127" s="1" t="s">
        <v>467</v>
      </c>
      <c r="F127" s="1" t="s">
        <v>146</v>
      </c>
      <c r="G127" s="1" t="s">
        <v>234</v>
      </c>
      <c r="H127" s="1" t="s">
        <v>235</v>
      </c>
      <c r="I127" s="1" t="s">
        <v>22</v>
      </c>
      <c r="J127" s="3">
        <v>399</v>
      </c>
      <c r="K127" s="3">
        <v>84.96</v>
      </c>
      <c r="L127" s="1" t="s">
        <v>23</v>
      </c>
      <c r="M127" s="1" t="s">
        <v>24</v>
      </c>
    </row>
    <row r="128" spans="1:13" ht="15.75">
      <c r="A128" s="1" t="s">
        <v>468</v>
      </c>
      <c r="B128" s="6">
        <v>44559</v>
      </c>
      <c r="C128" s="9" t="s">
        <v>398</v>
      </c>
      <c r="D128" s="1" t="s">
        <v>469</v>
      </c>
      <c r="E128" s="1" t="s">
        <v>71</v>
      </c>
      <c r="F128" s="1" t="s">
        <v>72</v>
      </c>
      <c r="G128" s="1" t="s">
        <v>455</v>
      </c>
      <c r="H128" s="1" t="s">
        <v>456</v>
      </c>
      <c r="I128" s="1" t="s">
        <v>22</v>
      </c>
      <c r="J128" s="3">
        <v>349</v>
      </c>
      <c r="K128" s="3">
        <v>84.96</v>
      </c>
      <c r="L128" s="1" t="s">
        <v>23</v>
      </c>
      <c r="M128" s="1" t="s">
        <v>24</v>
      </c>
    </row>
    <row r="129" spans="1:13" ht="15.75">
      <c r="A129" s="1" t="s">
        <v>470</v>
      </c>
      <c r="B129" s="6">
        <v>44207</v>
      </c>
      <c r="C129" s="9" t="s">
        <v>389</v>
      </c>
      <c r="D129" s="1" t="s">
        <v>96</v>
      </c>
      <c r="E129" s="1" t="s">
        <v>152</v>
      </c>
      <c r="F129" s="1" t="s">
        <v>153</v>
      </c>
      <c r="G129" s="1" t="s">
        <v>93</v>
      </c>
      <c r="H129" s="1" t="s">
        <v>94</v>
      </c>
      <c r="I129" s="1" t="s">
        <v>22</v>
      </c>
      <c r="J129" s="3">
        <v>449</v>
      </c>
      <c r="K129" s="3">
        <v>84.96</v>
      </c>
      <c r="L129" s="1" t="s">
        <v>23</v>
      </c>
      <c r="M129" s="1" t="s">
        <v>24</v>
      </c>
    </row>
    <row r="130" spans="1:13" ht="15.75">
      <c r="A130" s="1" t="s">
        <v>471</v>
      </c>
      <c r="B130" s="6">
        <v>44536</v>
      </c>
      <c r="C130" s="9" t="s">
        <v>398</v>
      </c>
      <c r="D130" s="1" t="s">
        <v>472</v>
      </c>
      <c r="E130" s="1" t="s">
        <v>71</v>
      </c>
      <c r="F130" s="1" t="s">
        <v>72</v>
      </c>
      <c r="G130" s="1" t="s">
        <v>473</v>
      </c>
      <c r="H130" s="1" t="s">
        <v>474</v>
      </c>
      <c r="I130" s="1" t="s">
        <v>22</v>
      </c>
      <c r="J130" s="3">
        <v>899</v>
      </c>
      <c r="K130" s="3">
        <v>114.46</v>
      </c>
      <c r="L130" s="1" t="s">
        <v>23</v>
      </c>
      <c r="M130" s="1" t="s">
        <v>24</v>
      </c>
    </row>
    <row r="131" spans="1:13" ht="15.75">
      <c r="A131" s="1" t="s">
        <v>475</v>
      </c>
      <c r="B131" s="6">
        <v>44216</v>
      </c>
      <c r="C131" s="9" t="s">
        <v>389</v>
      </c>
      <c r="D131" s="1" t="s">
        <v>180</v>
      </c>
      <c r="E131" s="1" t="s">
        <v>181</v>
      </c>
      <c r="F131" s="1" t="s">
        <v>92</v>
      </c>
      <c r="G131" s="1" t="s">
        <v>73</v>
      </c>
      <c r="H131" s="1" t="s">
        <v>476</v>
      </c>
      <c r="I131" s="1" t="s">
        <v>22</v>
      </c>
      <c r="J131" s="3">
        <v>475</v>
      </c>
      <c r="K131" s="3">
        <v>84.96</v>
      </c>
      <c r="L131" s="1" t="s">
        <v>23</v>
      </c>
      <c r="M131" s="1" t="s">
        <v>24</v>
      </c>
    </row>
    <row r="132" spans="1:13" ht="15.75">
      <c r="A132" s="1" t="s">
        <v>477</v>
      </c>
      <c r="B132" s="6">
        <v>44534</v>
      </c>
      <c r="C132" s="9" t="s">
        <v>398</v>
      </c>
      <c r="D132" s="1" t="s">
        <v>384</v>
      </c>
      <c r="E132" s="1" t="s">
        <v>71</v>
      </c>
      <c r="F132" s="1" t="s">
        <v>72</v>
      </c>
      <c r="G132" s="1" t="s">
        <v>341</v>
      </c>
      <c r="H132" s="1" t="s">
        <v>342</v>
      </c>
      <c r="I132" s="1" t="s">
        <v>22</v>
      </c>
      <c r="J132" s="3">
        <v>549</v>
      </c>
      <c r="K132" s="3">
        <v>84.96</v>
      </c>
      <c r="L132" s="1" t="s">
        <v>23</v>
      </c>
      <c r="M132" s="1" t="s">
        <v>24</v>
      </c>
    </row>
    <row r="133" spans="1:13" ht="15.75">
      <c r="A133" s="1" t="s">
        <v>478</v>
      </c>
      <c r="B133" s="6">
        <v>44538</v>
      </c>
      <c r="C133" s="9" t="s">
        <v>398</v>
      </c>
      <c r="D133" s="1" t="s">
        <v>132</v>
      </c>
      <c r="E133" s="1" t="s">
        <v>133</v>
      </c>
      <c r="F133" s="1" t="s">
        <v>84</v>
      </c>
      <c r="G133" s="1" t="s">
        <v>30</v>
      </c>
      <c r="H133" s="1" t="s">
        <v>31</v>
      </c>
      <c r="I133" s="1" t="s">
        <v>22</v>
      </c>
      <c r="J133" s="3">
        <v>449</v>
      </c>
      <c r="K133" s="3">
        <v>84.96</v>
      </c>
      <c r="L133" s="1" t="s">
        <v>23</v>
      </c>
      <c r="M133" s="1" t="s">
        <v>24</v>
      </c>
    </row>
    <row r="134" spans="1:13" ht="15.75">
      <c r="A134" s="1" t="s">
        <v>479</v>
      </c>
      <c r="B134" s="6">
        <v>44531</v>
      </c>
      <c r="C134" s="9" t="s">
        <v>398</v>
      </c>
      <c r="D134" s="1" t="s">
        <v>480</v>
      </c>
      <c r="E134" s="1" t="s">
        <v>318</v>
      </c>
      <c r="F134" s="1" t="s">
        <v>92</v>
      </c>
      <c r="G134" s="1" t="s">
        <v>125</v>
      </c>
      <c r="H134" s="1" t="s">
        <v>126</v>
      </c>
      <c r="I134" s="1" t="s">
        <v>22</v>
      </c>
      <c r="J134" s="3">
        <v>399</v>
      </c>
      <c r="K134" s="3">
        <v>84.96</v>
      </c>
      <c r="L134" s="1" t="s">
        <v>23</v>
      </c>
      <c r="M134" s="1" t="s">
        <v>24</v>
      </c>
    </row>
    <row r="135" spans="1:13" ht="15.75">
      <c r="A135" s="1" t="s">
        <v>481</v>
      </c>
      <c r="B135" s="6">
        <v>44241</v>
      </c>
      <c r="C135" s="9" t="s">
        <v>383</v>
      </c>
      <c r="D135" s="1" t="s">
        <v>482</v>
      </c>
      <c r="E135" s="1" t="s">
        <v>483</v>
      </c>
      <c r="F135" s="1" t="s">
        <v>60</v>
      </c>
      <c r="G135" s="1" t="s">
        <v>484</v>
      </c>
      <c r="H135" s="1" t="s">
        <v>359</v>
      </c>
      <c r="I135" s="1" t="s">
        <v>22</v>
      </c>
      <c r="J135" s="3">
        <v>449</v>
      </c>
      <c r="K135" s="3">
        <v>84.96</v>
      </c>
      <c r="L135" s="1" t="s">
        <v>23</v>
      </c>
      <c r="M135" s="1" t="s">
        <v>24</v>
      </c>
    </row>
    <row r="136" spans="1:13" ht="15.75">
      <c r="A136" s="1" t="s">
        <v>485</v>
      </c>
      <c r="B136" s="6">
        <v>44221</v>
      </c>
      <c r="C136" s="9" t="s">
        <v>389</v>
      </c>
      <c r="D136" s="1" t="s">
        <v>395</v>
      </c>
      <c r="E136" s="1" t="s">
        <v>396</v>
      </c>
      <c r="F136" s="1" t="s">
        <v>315</v>
      </c>
      <c r="G136" s="1" t="s">
        <v>30</v>
      </c>
      <c r="H136" s="1" t="s">
        <v>31</v>
      </c>
      <c r="I136" s="1" t="s">
        <v>22</v>
      </c>
      <c r="J136" s="3" t="s">
        <v>23</v>
      </c>
      <c r="K136" s="3">
        <v>84.96</v>
      </c>
      <c r="L136" s="1" t="s">
        <v>23</v>
      </c>
      <c r="M136" s="1" t="s">
        <v>63</v>
      </c>
    </row>
    <row r="137" spans="1:13" ht="15.75">
      <c r="A137" s="1" t="s">
        <v>486</v>
      </c>
      <c r="B137" s="6">
        <v>44540</v>
      </c>
      <c r="C137" s="9" t="s">
        <v>398</v>
      </c>
      <c r="D137" s="1" t="s">
        <v>487</v>
      </c>
      <c r="E137" s="1" t="s">
        <v>45</v>
      </c>
      <c r="F137" s="1" t="s">
        <v>46</v>
      </c>
      <c r="G137" s="1" t="s">
        <v>30</v>
      </c>
      <c r="H137" s="1" t="s">
        <v>31</v>
      </c>
      <c r="I137" s="1" t="s">
        <v>22</v>
      </c>
      <c r="J137" s="3">
        <v>449</v>
      </c>
      <c r="K137" s="3">
        <v>84.96</v>
      </c>
      <c r="L137" s="1" t="s">
        <v>41</v>
      </c>
      <c r="M137" s="1" t="s">
        <v>24</v>
      </c>
    </row>
    <row r="138" spans="1:13" ht="15.75">
      <c r="A138" s="1" t="s">
        <v>488</v>
      </c>
      <c r="B138" s="6">
        <v>44540</v>
      </c>
      <c r="C138" s="9" t="s">
        <v>398</v>
      </c>
      <c r="D138" s="1" t="s">
        <v>489</v>
      </c>
      <c r="E138" s="1" t="s">
        <v>97</v>
      </c>
      <c r="F138" s="1" t="s">
        <v>46</v>
      </c>
      <c r="G138" s="1" t="s">
        <v>30</v>
      </c>
      <c r="H138" s="1" t="s">
        <v>31</v>
      </c>
      <c r="I138" s="1" t="s">
        <v>194</v>
      </c>
      <c r="J138" s="3">
        <v>1796</v>
      </c>
      <c r="K138" s="3">
        <v>84.96</v>
      </c>
      <c r="L138" s="1" t="s">
        <v>23</v>
      </c>
      <c r="M138" s="1" t="s">
        <v>24</v>
      </c>
    </row>
    <row r="139" spans="1:13" ht="15.75">
      <c r="A139" s="1" t="s">
        <v>490</v>
      </c>
      <c r="B139" s="6">
        <v>44532</v>
      </c>
      <c r="C139" s="9" t="s">
        <v>398</v>
      </c>
      <c r="D139" s="1" t="s">
        <v>491</v>
      </c>
      <c r="E139" s="1" t="s">
        <v>413</v>
      </c>
      <c r="F139" s="1" t="s">
        <v>38</v>
      </c>
      <c r="G139" s="1" t="s">
        <v>184</v>
      </c>
      <c r="H139" s="1" t="s">
        <v>185</v>
      </c>
      <c r="I139" s="1" t="s">
        <v>22</v>
      </c>
      <c r="J139" s="3">
        <v>449</v>
      </c>
      <c r="K139" s="3">
        <v>84.96</v>
      </c>
      <c r="L139" s="1" t="s">
        <v>23</v>
      </c>
      <c r="M139" s="1" t="s">
        <v>24</v>
      </c>
    </row>
    <row r="140" spans="1:13" ht="15.75">
      <c r="A140" s="1" t="s">
        <v>492</v>
      </c>
      <c r="B140" s="6">
        <v>44530</v>
      </c>
      <c r="C140" s="9" t="s">
        <v>33</v>
      </c>
      <c r="D140" s="1" t="s">
        <v>493</v>
      </c>
      <c r="E140" s="1" t="s">
        <v>71</v>
      </c>
      <c r="F140" s="1" t="s">
        <v>72</v>
      </c>
      <c r="G140" s="1" t="s">
        <v>484</v>
      </c>
      <c r="H140" s="1" t="s">
        <v>359</v>
      </c>
      <c r="I140" s="1" t="s">
        <v>22</v>
      </c>
      <c r="J140" s="3">
        <v>449</v>
      </c>
      <c r="K140" s="3">
        <v>84.96</v>
      </c>
      <c r="L140" s="1" t="s">
        <v>23</v>
      </c>
      <c r="M140" s="1" t="s">
        <v>24</v>
      </c>
    </row>
    <row r="141" spans="1:13" ht="15.75">
      <c r="A141" s="1" t="s">
        <v>494</v>
      </c>
      <c r="B141" s="6">
        <v>44534</v>
      </c>
      <c r="C141" s="9" t="s">
        <v>398</v>
      </c>
      <c r="D141" s="1" t="s">
        <v>433</v>
      </c>
      <c r="E141" s="1" t="s">
        <v>417</v>
      </c>
      <c r="F141" s="1" t="s">
        <v>53</v>
      </c>
      <c r="G141" s="1" t="s">
        <v>341</v>
      </c>
      <c r="H141" s="1" t="s">
        <v>342</v>
      </c>
      <c r="I141" s="1" t="s">
        <v>22</v>
      </c>
      <c r="J141" s="3">
        <v>549</v>
      </c>
      <c r="K141" s="3">
        <v>47.2</v>
      </c>
      <c r="L141" s="1" t="s">
        <v>23</v>
      </c>
      <c r="M141" s="1" t="s">
        <v>24</v>
      </c>
    </row>
    <row r="142" spans="1:13" ht="15.75">
      <c r="A142" s="1" t="s">
        <v>495</v>
      </c>
      <c r="B142" s="6">
        <v>44561</v>
      </c>
      <c r="C142" s="9" t="s">
        <v>398</v>
      </c>
      <c r="D142" s="1" t="s">
        <v>496</v>
      </c>
      <c r="E142" s="1" t="s">
        <v>107</v>
      </c>
      <c r="F142" s="1" t="s">
        <v>53</v>
      </c>
      <c r="G142" s="1" t="s">
        <v>234</v>
      </c>
      <c r="H142" s="1" t="s">
        <v>235</v>
      </c>
      <c r="I142" s="1" t="s">
        <v>22</v>
      </c>
      <c r="J142" s="3">
        <v>399</v>
      </c>
      <c r="K142" s="3">
        <v>47.2</v>
      </c>
      <c r="L142" s="1" t="s">
        <v>23</v>
      </c>
      <c r="M142" s="1" t="s">
        <v>24</v>
      </c>
    </row>
    <row r="143" spans="1:13" ht="15.75">
      <c r="A143" s="1" t="s">
        <v>497</v>
      </c>
      <c r="B143" s="6">
        <v>44226</v>
      </c>
      <c r="C143" s="9" t="s">
        <v>389</v>
      </c>
      <c r="D143" s="1" t="s">
        <v>498</v>
      </c>
      <c r="E143" s="1" t="s">
        <v>499</v>
      </c>
      <c r="F143" s="1" t="s">
        <v>202</v>
      </c>
      <c r="G143" s="1" t="s">
        <v>239</v>
      </c>
      <c r="H143" s="1" t="s">
        <v>500</v>
      </c>
      <c r="I143" s="1" t="s">
        <v>22</v>
      </c>
      <c r="J143" s="3">
        <v>349</v>
      </c>
      <c r="K143" s="3">
        <v>84.96</v>
      </c>
      <c r="L143" s="1" t="s">
        <v>23</v>
      </c>
      <c r="M143" s="1" t="s">
        <v>24</v>
      </c>
    </row>
    <row r="144" spans="1:13" ht="15.75">
      <c r="A144" s="1" t="s">
        <v>501</v>
      </c>
      <c r="B144" s="6">
        <v>44559</v>
      </c>
      <c r="C144" s="9" t="s">
        <v>398</v>
      </c>
      <c r="D144" s="1" t="s">
        <v>502</v>
      </c>
      <c r="E144" s="1" t="s">
        <v>289</v>
      </c>
      <c r="F144" s="1" t="s">
        <v>503</v>
      </c>
      <c r="G144" s="1" t="s">
        <v>30</v>
      </c>
      <c r="H144" s="1" t="s">
        <v>31</v>
      </c>
      <c r="I144" s="1" t="s">
        <v>22</v>
      </c>
      <c r="J144" s="3">
        <v>449</v>
      </c>
      <c r="K144" s="3">
        <v>84.96</v>
      </c>
      <c r="L144" s="1" t="s">
        <v>41</v>
      </c>
      <c r="M144" s="1" t="s">
        <v>24</v>
      </c>
    </row>
    <row r="145" spans="1:13" ht="15.75">
      <c r="A145" s="1" t="s">
        <v>504</v>
      </c>
      <c r="B145" s="6">
        <v>44212</v>
      </c>
      <c r="C145" s="9" t="s">
        <v>389</v>
      </c>
      <c r="D145" s="1" t="s">
        <v>505</v>
      </c>
      <c r="E145" s="1" t="s">
        <v>107</v>
      </c>
      <c r="F145" s="1" t="s">
        <v>53</v>
      </c>
      <c r="G145" s="1" t="s">
        <v>73</v>
      </c>
      <c r="H145" s="1" t="s">
        <v>476</v>
      </c>
      <c r="I145" s="1" t="s">
        <v>22</v>
      </c>
      <c r="J145" s="3">
        <v>475</v>
      </c>
      <c r="K145" s="3">
        <v>47.2</v>
      </c>
      <c r="L145" s="1" t="s">
        <v>23</v>
      </c>
      <c r="M145" s="1" t="s">
        <v>24</v>
      </c>
    </row>
    <row r="146" spans="1:13" ht="15.75">
      <c r="A146" s="1" t="s">
        <v>506</v>
      </c>
      <c r="B146" s="6">
        <v>44250</v>
      </c>
      <c r="C146" s="9" t="s">
        <v>383</v>
      </c>
      <c r="D146" s="1" t="s">
        <v>507</v>
      </c>
      <c r="E146" s="1" t="s">
        <v>508</v>
      </c>
      <c r="F146" s="1" t="s">
        <v>60</v>
      </c>
      <c r="G146" s="1" t="s">
        <v>184</v>
      </c>
      <c r="H146" s="1" t="s">
        <v>185</v>
      </c>
      <c r="I146" s="1" t="s">
        <v>22</v>
      </c>
      <c r="J146" s="3">
        <v>449</v>
      </c>
      <c r="K146" s="3">
        <v>84.96</v>
      </c>
      <c r="L146" s="1" t="s">
        <v>41</v>
      </c>
      <c r="M146" s="1" t="s">
        <v>24</v>
      </c>
    </row>
    <row r="147" spans="1:13" ht="15.75">
      <c r="A147" s="1" t="s">
        <v>509</v>
      </c>
      <c r="B147" s="6">
        <v>44539</v>
      </c>
      <c r="C147" s="9" t="s">
        <v>398</v>
      </c>
      <c r="D147" s="1" t="s">
        <v>510</v>
      </c>
      <c r="E147" s="1" t="s">
        <v>45</v>
      </c>
      <c r="F147" s="1" t="s">
        <v>46</v>
      </c>
      <c r="G147" s="1" t="s">
        <v>239</v>
      </c>
      <c r="H147" s="1" t="s">
        <v>500</v>
      </c>
      <c r="I147" s="1" t="s">
        <v>22</v>
      </c>
      <c r="J147" s="3">
        <v>349</v>
      </c>
      <c r="K147" s="3">
        <v>84.96</v>
      </c>
      <c r="L147" s="1" t="s">
        <v>23</v>
      </c>
      <c r="M147" s="1" t="s">
        <v>24</v>
      </c>
    </row>
    <row r="148" spans="1:13" ht="15.75">
      <c r="A148" s="1" t="s">
        <v>511</v>
      </c>
      <c r="B148" s="6">
        <v>44209</v>
      </c>
      <c r="C148" s="9" t="s">
        <v>389</v>
      </c>
      <c r="D148" s="1" t="s">
        <v>512</v>
      </c>
      <c r="E148" s="1" t="s">
        <v>513</v>
      </c>
      <c r="F148" s="1" t="s">
        <v>60</v>
      </c>
      <c r="G148" s="1" t="s">
        <v>113</v>
      </c>
      <c r="H148" s="1" t="s">
        <v>114</v>
      </c>
      <c r="I148" s="1" t="s">
        <v>22</v>
      </c>
      <c r="J148" s="3">
        <v>449</v>
      </c>
      <c r="K148" s="3">
        <v>84.96</v>
      </c>
      <c r="L148" s="1" t="s">
        <v>23</v>
      </c>
      <c r="M148" s="1" t="s">
        <v>24</v>
      </c>
    </row>
    <row r="149" spans="1:13" ht="15.75">
      <c r="A149" s="1" t="s">
        <v>514</v>
      </c>
      <c r="B149" s="6">
        <v>44550</v>
      </c>
      <c r="C149" s="9" t="s">
        <v>398</v>
      </c>
      <c r="D149" s="1" t="s">
        <v>515</v>
      </c>
      <c r="E149" s="1" t="s">
        <v>516</v>
      </c>
      <c r="F149" s="1" t="s">
        <v>53</v>
      </c>
      <c r="G149" s="1" t="s">
        <v>73</v>
      </c>
      <c r="H149" s="1" t="s">
        <v>476</v>
      </c>
      <c r="I149" s="1" t="s">
        <v>22</v>
      </c>
      <c r="J149" s="3">
        <v>475</v>
      </c>
      <c r="K149" s="3">
        <v>60.18</v>
      </c>
      <c r="L149" s="1" t="s">
        <v>23</v>
      </c>
      <c r="M149" s="1" t="s">
        <v>24</v>
      </c>
    </row>
    <row r="150" spans="1:13" ht="15.75">
      <c r="A150" s="1" t="s">
        <v>517</v>
      </c>
      <c r="B150" s="6">
        <v>44539</v>
      </c>
      <c r="C150" s="9" t="s">
        <v>398</v>
      </c>
      <c r="D150" s="1" t="s">
        <v>448</v>
      </c>
      <c r="E150" s="1" t="s">
        <v>449</v>
      </c>
      <c r="F150" s="1" t="s">
        <v>92</v>
      </c>
      <c r="G150" s="1" t="s">
        <v>336</v>
      </c>
      <c r="H150" s="1" t="s">
        <v>337</v>
      </c>
      <c r="I150" s="1" t="s">
        <v>22</v>
      </c>
      <c r="J150" s="3">
        <v>399</v>
      </c>
      <c r="K150" s="3">
        <v>84.96</v>
      </c>
      <c r="L150" s="1" t="s">
        <v>23</v>
      </c>
      <c r="M150" s="1" t="s">
        <v>24</v>
      </c>
    </row>
    <row r="151" spans="1:13" ht="15.75">
      <c r="A151" s="1" t="s">
        <v>518</v>
      </c>
      <c r="B151" s="6">
        <v>44539</v>
      </c>
      <c r="C151" s="9" t="s">
        <v>398</v>
      </c>
      <c r="D151" s="1" t="s">
        <v>519</v>
      </c>
      <c r="E151" s="1" t="s">
        <v>520</v>
      </c>
      <c r="F151" s="1" t="s">
        <v>92</v>
      </c>
      <c r="G151" s="1" t="s">
        <v>30</v>
      </c>
      <c r="H151" s="1" t="s">
        <v>31</v>
      </c>
      <c r="I151" s="1" t="s">
        <v>22</v>
      </c>
      <c r="J151" s="3">
        <v>449</v>
      </c>
      <c r="K151" s="3">
        <v>84.96</v>
      </c>
      <c r="L151" s="1" t="s">
        <v>41</v>
      </c>
      <c r="M151" s="1" t="s">
        <v>24</v>
      </c>
    </row>
    <row r="152" spans="1:13" ht="15.75">
      <c r="A152" s="1" t="s">
        <v>521</v>
      </c>
      <c r="B152" s="6">
        <v>44549</v>
      </c>
      <c r="C152" s="9" t="s">
        <v>398</v>
      </c>
      <c r="D152" s="1" t="s">
        <v>522</v>
      </c>
      <c r="E152" s="1" t="s">
        <v>71</v>
      </c>
      <c r="F152" s="1" t="s">
        <v>72</v>
      </c>
      <c r="G152" s="1" t="s">
        <v>30</v>
      </c>
      <c r="H152" s="1" t="s">
        <v>31</v>
      </c>
      <c r="I152" s="1" t="s">
        <v>22</v>
      </c>
      <c r="J152" s="3" t="s">
        <v>23</v>
      </c>
      <c r="K152" s="3">
        <v>84.96</v>
      </c>
      <c r="L152" s="1" t="s">
        <v>23</v>
      </c>
      <c r="M152" s="1" t="s">
        <v>63</v>
      </c>
    </row>
    <row r="153" spans="1:13" ht="15.75">
      <c r="A153" s="1" t="s">
        <v>523</v>
      </c>
      <c r="B153" s="6">
        <v>44248</v>
      </c>
      <c r="C153" s="9" t="s">
        <v>383</v>
      </c>
      <c r="D153" s="1" t="s">
        <v>524</v>
      </c>
      <c r="E153" s="1" t="s">
        <v>525</v>
      </c>
      <c r="F153" s="1" t="s">
        <v>60</v>
      </c>
      <c r="G153" s="1" t="s">
        <v>455</v>
      </c>
      <c r="H153" s="1" t="s">
        <v>456</v>
      </c>
      <c r="I153" s="1" t="s">
        <v>22</v>
      </c>
      <c r="J153" s="3">
        <v>349</v>
      </c>
      <c r="K153" s="3">
        <v>60.18</v>
      </c>
      <c r="L153" s="1" t="s">
        <v>23</v>
      </c>
      <c r="M153" s="1" t="s">
        <v>24</v>
      </c>
    </row>
    <row r="154" spans="1:13" ht="15.75">
      <c r="A154" s="1" t="s">
        <v>526</v>
      </c>
      <c r="B154" s="6">
        <v>44545</v>
      </c>
      <c r="C154" s="9" t="s">
        <v>398</v>
      </c>
      <c r="D154" s="1" t="s">
        <v>527</v>
      </c>
      <c r="E154" s="1" t="s">
        <v>71</v>
      </c>
      <c r="F154" s="1" t="s">
        <v>72</v>
      </c>
      <c r="G154" s="1" t="s">
        <v>528</v>
      </c>
      <c r="H154" s="1" t="s">
        <v>529</v>
      </c>
      <c r="I154" s="1" t="s">
        <v>22</v>
      </c>
      <c r="J154" s="3">
        <v>549</v>
      </c>
      <c r="K154" s="3">
        <v>84.96</v>
      </c>
      <c r="L154" s="1" t="s">
        <v>23</v>
      </c>
      <c r="M154" s="1" t="s">
        <v>24</v>
      </c>
    </row>
    <row r="155" spans="1:13" ht="15.75">
      <c r="A155" s="1" t="s">
        <v>530</v>
      </c>
      <c r="B155" s="6">
        <v>44531</v>
      </c>
      <c r="C155" s="9" t="s">
        <v>398</v>
      </c>
      <c r="D155" s="1" t="s">
        <v>531</v>
      </c>
      <c r="E155" s="1" t="s">
        <v>318</v>
      </c>
      <c r="F155" s="1" t="s">
        <v>92</v>
      </c>
      <c r="G155" s="1" t="s">
        <v>184</v>
      </c>
      <c r="H155" s="1" t="s">
        <v>185</v>
      </c>
      <c r="I155" s="1" t="s">
        <v>22</v>
      </c>
      <c r="J155" s="3">
        <v>449</v>
      </c>
      <c r="K155" s="3">
        <v>84.96</v>
      </c>
      <c r="L155" s="1" t="s">
        <v>23</v>
      </c>
      <c r="M155" s="1" t="s">
        <v>24</v>
      </c>
    </row>
    <row r="156" spans="1:13" ht="15.75">
      <c r="A156" s="1" t="s">
        <v>532</v>
      </c>
      <c r="B156" s="6">
        <v>44539</v>
      </c>
      <c r="C156" s="9" t="s">
        <v>398</v>
      </c>
      <c r="D156" s="1" t="s">
        <v>533</v>
      </c>
      <c r="E156" s="1" t="s">
        <v>152</v>
      </c>
      <c r="F156" s="1" t="s">
        <v>153</v>
      </c>
      <c r="G156" s="1" t="s">
        <v>319</v>
      </c>
      <c r="H156" s="1" t="s">
        <v>320</v>
      </c>
      <c r="I156" s="1" t="s">
        <v>22</v>
      </c>
      <c r="J156" s="3">
        <v>449</v>
      </c>
      <c r="K156" s="3">
        <v>84.96</v>
      </c>
      <c r="L156" s="1" t="s">
        <v>23</v>
      </c>
      <c r="M156" s="1" t="s">
        <v>24</v>
      </c>
    </row>
    <row r="157" spans="1:13" ht="15.75">
      <c r="A157" s="1" t="s">
        <v>534</v>
      </c>
      <c r="B157" s="6">
        <v>44542</v>
      </c>
      <c r="C157" s="9" t="s">
        <v>398</v>
      </c>
      <c r="D157" s="1" t="s">
        <v>535</v>
      </c>
      <c r="E157" s="1" t="s">
        <v>19</v>
      </c>
      <c r="F157" s="1" t="s">
        <v>19</v>
      </c>
      <c r="G157" s="1" t="s">
        <v>30</v>
      </c>
      <c r="H157" s="1" t="s">
        <v>31</v>
      </c>
      <c r="I157" s="1" t="s">
        <v>22</v>
      </c>
      <c r="J157" s="3" t="s">
        <v>23</v>
      </c>
      <c r="K157" s="3">
        <v>84.96</v>
      </c>
      <c r="L157" s="1" t="s">
        <v>23</v>
      </c>
      <c r="M157" s="1" t="s">
        <v>24</v>
      </c>
    </row>
    <row r="158" spans="1:13" ht="15.75">
      <c r="A158" s="1" t="s">
        <v>536</v>
      </c>
      <c r="B158" s="6">
        <v>44532</v>
      </c>
      <c r="C158" s="9" t="s">
        <v>398</v>
      </c>
      <c r="D158" s="1" t="s">
        <v>537</v>
      </c>
      <c r="E158" s="1" t="s">
        <v>467</v>
      </c>
      <c r="F158" s="1" t="s">
        <v>146</v>
      </c>
      <c r="G158" s="1" t="s">
        <v>154</v>
      </c>
      <c r="H158" s="1" t="s">
        <v>538</v>
      </c>
      <c r="I158" s="1" t="s">
        <v>22</v>
      </c>
      <c r="J158" s="3">
        <v>475</v>
      </c>
      <c r="K158" s="3">
        <v>84.96</v>
      </c>
      <c r="L158" s="1" t="s">
        <v>23</v>
      </c>
      <c r="M158" s="1" t="s">
        <v>24</v>
      </c>
    </row>
    <row r="159" spans="1:13" ht="15.75">
      <c r="A159" s="1" t="s">
        <v>539</v>
      </c>
      <c r="B159" s="6">
        <v>44538</v>
      </c>
      <c r="C159" s="9" t="s">
        <v>398</v>
      </c>
      <c r="D159" s="1" t="s">
        <v>540</v>
      </c>
      <c r="E159" s="1" t="s">
        <v>541</v>
      </c>
      <c r="F159" s="1" t="s">
        <v>202</v>
      </c>
      <c r="G159" s="1" t="s">
        <v>67</v>
      </c>
      <c r="H159" s="1" t="s">
        <v>68</v>
      </c>
      <c r="I159" s="1" t="s">
        <v>22</v>
      </c>
      <c r="J159" s="3">
        <v>399</v>
      </c>
      <c r="K159" s="3">
        <v>84.96</v>
      </c>
      <c r="L159" s="1" t="s">
        <v>41</v>
      </c>
      <c r="M159" s="1" t="s">
        <v>24</v>
      </c>
    </row>
    <row r="160" spans="1:13" ht="15.75">
      <c r="A160" s="1" t="s">
        <v>542</v>
      </c>
      <c r="B160" s="6">
        <v>44244</v>
      </c>
      <c r="C160" s="9" t="s">
        <v>383</v>
      </c>
      <c r="D160" s="1" t="s">
        <v>543</v>
      </c>
      <c r="E160" s="1" t="s">
        <v>107</v>
      </c>
      <c r="F160" s="1" t="s">
        <v>53</v>
      </c>
      <c r="G160" s="1" t="s">
        <v>544</v>
      </c>
      <c r="H160" s="1" t="s">
        <v>545</v>
      </c>
      <c r="I160" s="1" t="s">
        <v>22</v>
      </c>
      <c r="J160" s="3">
        <v>449</v>
      </c>
      <c r="K160" s="3">
        <v>47.2</v>
      </c>
      <c r="L160" s="1" t="s">
        <v>41</v>
      </c>
      <c r="M160" s="1" t="s">
        <v>24</v>
      </c>
    </row>
    <row r="161" spans="1:13" ht="15.75">
      <c r="A161" s="1" t="s">
        <v>546</v>
      </c>
      <c r="B161" s="6">
        <v>44226</v>
      </c>
      <c r="C161" s="9" t="s">
        <v>389</v>
      </c>
      <c r="D161" s="1" t="s">
        <v>531</v>
      </c>
      <c r="E161" s="1" t="s">
        <v>318</v>
      </c>
      <c r="F161" s="1" t="s">
        <v>92</v>
      </c>
      <c r="G161" s="1" t="s">
        <v>184</v>
      </c>
      <c r="H161" s="1" t="s">
        <v>185</v>
      </c>
      <c r="I161" s="1" t="s">
        <v>22</v>
      </c>
      <c r="J161" s="3" t="s">
        <v>23</v>
      </c>
      <c r="K161" s="3">
        <v>84.96</v>
      </c>
      <c r="L161" s="1" t="s">
        <v>41</v>
      </c>
      <c r="M161" s="1" t="s">
        <v>63</v>
      </c>
    </row>
    <row r="162" spans="1:13" ht="15.75">
      <c r="A162" s="1" t="s">
        <v>547</v>
      </c>
      <c r="B162" s="6">
        <v>44540</v>
      </c>
      <c r="C162" s="9" t="s">
        <v>398</v>
      </c>
      <c r="D162" s="1" t="s">
        <v>548</v>
      </c>
      <c r="E162" s="1" t="s">
        <v>71</v>
      </c>
      <c r="F162" s="1" t="s">
        <v>72</v>
      </c>
      <c r="G162" s="1" t="s">
        <v>30</v>
      </c>
      <c r="H162" s="1" t="s">
        <v>31</v>
      </c>
      <c r="I162" s="1" t="s">
        <v>22</v>
      </c>
      <c r="J162" s="3">
        <v>449</v>
      </c>
      <c r="K162" s="3">
        <v>84.96</v>
      </c>
      <c r="L162" s="1" t="s">
        <v>23</v>
      </c>
      <c r="M162" s="1" t="s">
        <v>24</v>
      </c>
    </row>
    <row r="163" spans="1:13" ht="15.75">
      <c r="A163" s="1" t="s">
        <v>549</v>
      </c>
      <c r="B163" s="6">
        <v>44531</v>
      </c>
      <c r="C163" s="9" t="s">
        <v>398</v>
      </c>
      <c r="D163" s="1" t="s">
        <v>550</v>
      </c>
      <c r="E163" s="1" t="s">
        <v>551</v>
      </c>
      <c r="F163" s="1" t="s">
        <v>60</v>
      </c>
      <c r="G163" s="1" t="s">
        <v>30</v>
      </c>
      <c r="H163" s="1" t="s">
        <v>31</v>
      </c>
      <c r="I163" s="1" t="s">
        <v>22</v>
      </c>
      <c r="J163" s="3">
        <v>449</v>
      </c>
      <c r="K163" s="3">
        <v>84.96</v>
      </c>
      <c r="L163" s="1" t="s">
        <v>23</v>
      </c>
      <c r="M163" s="1" t="s">
        <v>24</v>
      </c>
    </row>
    <row r="164" spans="1:13" ht="15.75">
      <c r="A164" s="1" t="s">
        <v>552</v>
      </c>
      <c r="B164" s="6">
        <v>44244</v>
      </c>
      <c r="C164" s="9" t="s">
        <v>383</v>
      </c>
      <c r="D164" s="1" t="s">
        <v>553</v>
      </c>
      <c r="E164" s="1" t="s">
        <v>440</v>
      </c>
      <c r="F164" s="1" t="s">
        <v>46</v>
      </c>
      <c r="G164" s="1" t="s">
        <v>230</v>
      </c>
      <c r="H164" s="1" t="s">
        <v>231</v>
      </c>
      <c r="I164" s="1" t="s">
        <v>22</v>
      </c>
      <c r="J164" s="3">
        <v>449</v>
      </c>
      <c r="K164" s="3">
        <v>84.96</v>
      </c>
      <c r="L164" s="1" t="s">
        <v>23</v>
      </c>
      <c r="M164" s="1" t="s">
        <v>24</v>
      </c>
    </row>
    <row r="165" spans="1:13" ht="15.75">
      <c r="A165" s="1" t="s">
        <v>554</v>
      </c>
      <c r="B165" s="6">
        <v>44216</v>
      </c>
      <c r="C165" s="9" t="s">
        <v>389</v>
      </c>
      <c r="D165" s="1" t="s">
        <v>390</v>
      </c>
      <c r="E165" s="1" t="s">
        <v>152</v>
      </c>
      <c r="F165" s="1" t="s">
        <v>153</v>
      </c>
      <c r="G165" s="1" t="s">
        <v>20</v>
      </c>
      <c r="H165" s="1" t="s">
        <v>21</v>
      </c>
      <c r="I165" s="1" t="s">
        <v>22</v>
      </c>
      <c r="J165" s="3">
        <v>449</v>
      </c>
      <c r="K165" s="3">
        <v>84.96</v>
      </c>
      <c r="L165" s="1" t="s">
        <v>41</v>
      </c>
      <c r="M165" s="1" t="s">
        <v>24</v>
      </c>
    </row>
    <row r="166" spans="1:13" ht="15.75">
      <c r="A166" s="1" t="s">
        <v>555</v>
      </c>
      <c r="B166" s="6">
        <v>44534</v>
      </c>
      <c r="C166" s="9" t="s">
        <v>398</v>
      </c>
      <c r="D166" s="1" t="s">
        <v>537</v>
      </c>
      <c r="E166" s="1" t="s">
        <v>467</v>
      </c>
      <c r="F166" s="1" t="s">
        <v>556</v>
      </c>
      <c r="G166" s="1" t="s">
        <v>73</v>
      </c>
      <c r="H166" s="1" t="s">
        <v>74</v>
      </c>
      <c r="I166" s="1" t="s">
        <v>22</v>
      </c>
      <c r="J166" s="3">
        <v>399</v>
      </c>
      <c r="K166" s="3">
        <v>84.96</v>
      </c>
      <c r="L166" s="1" t="s">
        <v>23</v>
      </c>
      <c r="M166" s="1" t="s">
        <v>24</v>
      </c>
    </row>
    <row r="167" spans="1:13" ht="15.75">
      <c r="A167" s="1" t="s">
        <v>557</v>
      </c>
      <c r="B167" s="6">
        <v>44555</v>
      </c>
      <c r="C167" s="9" t="s">
        <v>398</v>
      </c>
      <c r="D167" s="1" t="s">
        <v>558</v>
      </c>
      <c r="E167" s="1" t="s">
        <v>559</v>
      </c>
      <c r="F167" s="1" t="s">
        <v>560</v>
      </c>
      <c r="G167" s="1" t="s">
        <v>67</v>
      </c>
      <c r="H167" s="1" t="s">
        <v>68</v>
      </c>
      <c r="I167" s="1" t="s">
        <v>22</v>
      </c>
      <c r="J167" s="3">
        <v>399</v>
      </c>
      <c r="K167" s="3">
        <v>84.96</v>
      </c>
      <c r="L167" s="1" t="s">
        <v>23</v>
      </c>
      <c r="M167" s="1" t="s">
        <v>24</v>
      </c>
    </row>
    <row r="168" spans="1:13" ht="15.75">
      <c r="A168" s="1" t="s">
        <v>561</v>
      </c>
      <c r="B168" s="6">
        <v>44543</v>
      </c>
      <c r="C168" s="9" t="s">
        <v>398</v>
      </c>
      <c r="D168" s="1" t="s">
        <v>487</v>
      </c>
      <c r="E168" s="1" t="s">
        <v>45</v>
      </c>
      <c r="F168" s="1" t="s">
        <v>46</v>
      </c>
      <c r="G168" s="1" t="s">
        <v>30</v>
      </c>
      <c r="H168" s="1" t="s">
        <v>31</v>
      </c>
      <c r="I168" s="1" t="s">
        <v>377</v>
      </c>
      <c r="J168" s="3">
        <v>1347</v>
      </c>
      <c r="K168" s="3">
        <v>84.96</v>
      </c>
      <c r="L168" s="1" t="s">
        <v>41</v>
      </c>
      <c r="M168" s="1" t="s">
        <v>24</v>
      </c>
    </row>
    <row r="169" spans="1:13" ht="15.75">
      <c r="A169" s="1" t="s">
        <v>562</v>
      </c>
      <c r="B169" s="6">
        <v>44531</v>
      </c>
      <c r="C169" s="9" t="s">
        <v>398</v>
      </c>
      <c r="D169" s="1" t="s">
        <v>563</v>
      </c>
      <c r="E169" s="1" t="s">
        <v>564</v>
      </c>
      <c r="F169" s="1" t="s">
        <v>565</v>
      </c>
      <c r="G169" s="1" t="s">
        <v>258</v>
      </c>
      <c r="H169" s="1" t="s">
        <v>259</v>
      </c>
      <c r="I169" s="1" t="s">
        <v>22</v>
      </c>
      <c r="J169" s="3">
        <v>1299</v>
      </c>
      <c r="K169" s="3">
        <v>114.46</v>
      </c>
      <c r="L169" s="1" t="s">
        <v>23</v>
      </c>
      <c r="M169" s="1" t="s">
        <v>24</v>
      </c>
    </row>
    <row r="170" spans="1:13" ht="15.75">
      <c r="A170" s="1" t="s">
        <v>566</v>
      </c>
      <c r="B170" s="6">
        <v>44539</v>
      </c>
      <c r="C170" s="9" t="s">
        <v>398</v>
      </c>
      <c r="D170" s="1" t="s">
        <v>567</v>
      </c>
      <c r="E170" s="1" t="s">
        <v>568</v>
      </c>
      <c r="F170" s="1" t="s">
        <v>78</v>
      </c>
      <c r="G170" s="1" t="s">
        <v>258</v>
      </c>
      <c r="H170" s="1" t="s">
        <v>259</v>
      </c>
      <c r="I170" s="1" t="s">
        <v>22</v>
      </c>
      <c r="J170" s="3">
        <v>1299</v>
      </c>
      <c r="K170" s="3">
        <v>105.02</v>
      </c>
      <c r="L170" s="1" t="s">
        <v>23</v>
      </c>
      <c r="M170" s="1" t="s">
        <v>24</v>
      </c>
    </row>
    <row r="171" spans="1:13" ht="15.75">
      <c r="A171" s="1" t="s">
        <v>569</v>
      </c>
      <c r="B171" s="6">
        <v>44250</v>
      </c>
      <c r="C171" s="9" t="s">
        <v>383</v>
      </c>
      <c r="D171" s="1" t="s">
        <v>570</v>
      </c>
      <c r="E171" s="1" t="s">
        <v>107</v>
      </c>
      <c r="F171" s="1" t="s">
        <v>53</v>
      </c>
      <c r="G171" s="1" t="s">
        <v>571</v>
      </c>
      <c r="H171" s="1" t="s">
        <v>572</v>
      </c>
      <c r="I171" s="1" t="s">
        <v>22</v>
      </c>
      <c r="J171" s="3">
        <v>1499</v>
      </c>
      <c r="K171" s="3">
        <v>80.239999999999995</v>
      </c>
      <c r="L171" s="1" t="s">
        <v>41</v>
      </c>
      <c r="M171" s="1" t="s">
        <v>24</v>
      </c>
    </row>
    <row r="172" spans="1:13" ht="15.75">
      <c r="A172" s="1" t="s">
        <v>573</v>
      </c>
      <c r="B172" s="6">
        <v>44556</v>
      </c>
      <c r="C172" s="9" t="s">
        <v>398</v>
      </c>
      <c r="D172" s="1" t="s">
        <v>574</v>
      </c>
      <c r="E172" s="1" t="s">
        <v>45</v>
      </c>
      <c r="F172" s="1" t="s">
        <v>46</v>
      </c>
      <c r="G172" s="1" t="s">
        <v>20</v>
      </c>
      <c r="H172" s="1" t="s">
        <v>21</v>
      </c>
      <c r="I172" s="1" t="s">
        <v>22</v>
      </c>
      <c r="J172" s="3">
        <v>449</v>
      </c>
      <c r="K172" s="3">
        <v>84.96</v>
      </c>
      <c r="L172" s="1" t="s">
        <v>23</v>
      </c>
      <c r="M172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5430-DB55-4A01-9F04-A1D49EB1A5CE}">
  <dimension ref="B2:C17"/>
  <sheetViews>
    <sheetView workbookViewId="0">
      <selection activeCell="G6" sqref="G6"/>
    </sheetView>
  </sheetViews>
  <sheetFormatPr defaultRowHeight="15"/>
  <cols>
    <col min="2" max="2" width="11.28515625" customWidth="1"/>
    <col min="3" max="3" width="19.42578125" style="4" bestFit="1" customWidth="1"/>
    <col min="4" max="114" width="11.42578125" bestFit="1" customWidth="1"/>
    <col min="115" max="115" width="10.7109375" bestFit="1" customWidth="1"/>
  </cols>
  <sheetData>
    <row r="2" spans="2:3">
      <c r="B2" t="s">
        <v>575</v>
      </c>
    </row>
    <row r="5" spans="2:3">
      <c r="B5" s="10" t="s">
        <v>576</v>
      </c>
    </row>
    <row r="7" spans="2:3">
      <c r="B7" s="5" t="s">
        <v>5</v>
      </c>
      <c r="C7" s="4" t="s">
        <v>577</v>
      </c>
    </row>
    <row r="8" spans="2:3">
      <c r="B8" t="s">
        <v>389</v>
      </c>
      <c r="C8" s="4">
        <v>4592</v>
      </c>
    </row>
    <row r="9" spans="2:3">
      <c r="B9" t="s">
        <v>383</v>
      </c>
      <c r="C9" s="4">
        <v>4967</v>
      </c>
    </row>
    <row r="10" spans="2:3">
      <c r="B10" t="s">
        <v>50</v>
      </c>
      <c r="C10" s="4">
        <v>1698</v>
      </c>
    </row>
    <row r="11" spans="2:3">
      <c r="B11" t="s">
        <v>17</v>
      </c>
      <c r="C11" s="4">
        <v>2395</v>
      </c>
    </row>
    <row r="12" spans="2:3">
      <c r="B12" t="s">
        <v>57</v>
      </c>
      <c r="C12" s="4">
        <v>7640</v>
      </c>
    </row>
    <row r="13" spans="2:3">
      <c r="B13" t="s">
        <v>43</v>
      </c>
      <c r="C13" s="4">
        <v>9084</v>
      </c>
    </row>
    <row r="14" spans="2:3">
      <c r="B14" t="s">
        <v>26</v>
      </c>
      <c r="C14" s="4">
        <v>10979</v>
      </c>
    </row>
    <row r="15" spans="2:3">
      <c r="B15" t="s">
        <v>33</v>
      </c>
      <c r="C15" s="4">
        <v>13672</v>
      </c>
    </row>
    <row r="16" spans="2:3">
      <c r="B16" t="s">
        <v>398</v>
      </c>
      <c r="C16" s="4">
        <v>34150</v>
      </c>
    </row>
    <row r="17" spans="2:3">
      <c r="B17" t="s">
        <v>578</v>
      </c>
      <c r="C17" s="4">
        <v>89177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FD41-EA61-482F-9105-EC9B69D538EF}">
  <dimension ref="A1:M49"/>
  <sheetViews>
    <sheetView workbookViewId="0"/>
  </sheetViews>
  <sheetFormatPr defaultRowHeight="15"/>
  <cols>
    <col min="1" max="1" width="20.5703125" bestFit="1" customWidth="1"/>
    <col min="2" max="2" width="13.140625" bestFit="1" customWidth="1"/>
    <col min="3" max="3" width="10.42578125" bestFit="1" customWidth="1"/>
    <col min="4" max="4" width="14" bestFit="1" customWidth="1"/>
    <col min="5" max="5" width="21.42578125" bestFit="1" customWidth="1"/>
    <col min="6" max="6" width="17.28515625" bestFit="1" customWidth="1"/>
    <col min="7" max="7" width="20.42578125" bestFit="1" customWidth="1"/>
    <col min="8" max="8" width="135.140625" bestFit="1" customWidth="1"/>
    <col min="9" max="9" width="10.7109375" bestFit="1" customWidth="1"/>
    <col min="10" max="10" width="12.5703125" bestFit="1" customWidth="1"/>
    <col min="11" max="11" width="14.5703125" bestFit="1" customWidth="1"/>
    <col min="12" max="12" width="15.5703125" bestFit="1" customWidth="1"/>
    <col min="13" max="13" width="17" bestFit="1" customWidth="1"/>
  </cols>
  <sheetData>
    <row r="1" spans="1:13">
      <c r="A1" s="25" t="s">
        <v>579</v>
      </c>
    </row>
    <row r="3" spans="1:1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>
      <c r="A4" t="s">
        <v>573</v>
      </c>
      <c r="B4" s="7">
        <v>44556</v>
      </c>
      <c r="C4" t="s">
        <v>398</v>
      </c>
      <c r="D4" t="s">
        <v>574</v>
      </c>
      <c r="E4" t="s">
        <v>45</v>
      </c>
      <c r="F4" t="s">
        <v>46</v>
      </c>
      <c r="G4" t="s">
        <v>20</v>
      </c>
      <c r="H4" t="s">
        <v>21</v>
      </c>
      <c r="I4" t="s">
        <v>22</v>
      </c>
      <c r="J4">
        <v>449</v>
      </c>
      <c r="K4">
        <v>84.96</v>
      </c>
      <c r="L4" t="s">
        <v>23</v>
      </c>
      <c r="M4" t="s">
        <v>24</v>
      </c>
    </row>
    <row r="5" spans="1:13">
      <c r="A5" t="s">
        <v>566</v>
      </c>
      <c r="B5" s="7">
        <v>44539</v>
      </c>
      <c r="C5" t="s">
        <v>398</v>
      </c>
      <c r="D5" t="s">
        <v>567</v>
      </c>
      <c r="E5" t="s">
        <v>568</v>
      </c>
      <c r="F5" t="s">
        <v>78</v>
      </c>
      <c r="G5" t="s">
        <v>258</v>
      </c>
      <c r="H5" t="s">
        <v>259</v>
      </c>
      <c r="I5" t="s">
        <v>22</v>
      </c>
      <c r="J5">
        <v>1299</v>
      </c>
      <c r="K5">
        <v>105.02</v>
      </c>
      <c r="L5" t="s">
        <v>23</v>
      </c>
      <c r="M5" t="s">
        <v>24</v>
      </c>
    </row>
    <row r="6" spans="1:13">
      <c r="A6" t="s">
        <v>562</v>
      </c>
      <c r="B6" s="7">
        <v>44531</v>
      </c>
      <c r="C6" t="s">
        <v>398</v>
      </c>
      <c r="D6" t="s">
        <v>563</v>
      </c>
      <c r="E6" t="s">
        <v>564</v>
      </c>
      <c r="F6" t="s">
        <v>565</v>
      </c>
      <c r="G6" t="s">
        <v>258</v>
      </c>
      <c r="H6" t="s">
        <v>259</v>
      </c>
      <c r="I6" t="s">
        <v>22</v>
      </c>
      <c r="J6">
        <v>1299</v>
      </c>
      <c r="K6">
        <v>114.46</v>
      </c>
      <c r="L6" t="s">
        <v>23</v>
      </c>
      <c r="M6" t="s">
        <v>24</v>
      </c>
    </row>
    <row r="7" spans="1:13">
      <c r="A7" t="s">
        <v>561</v>
      </c>
      <c r="B7" s="7">
        <v>44543</v>
      </c>
      <c r="C7" t="s">
        <v>398</v>
      </c>
      <c r="D7" t="s">
        <v>487</v>
      </c>
      <c r="E7" t="s">
        <v>45</v>
      </c>
      <c r="F7" t="s">
        <v>46</v>
      </c>
      <c r="G7" t="s">
        <v>30</v>
      </c>
      <c r="H7" t="s">
        <v>31</v>
      </c>
      <c r="I7" t="s">
        <v>377</v>
      </c>
      <c r="J7">
        <v>1347</v>
      </c>
      <c r="K7">
        <v>84.96</v>
      </c>
      <c r="L7" t="s">
        <v>41</v>
      </c>
      <c r="M7" t="s">
        <v>24</v>
      </c>
    </row>
    <row r="8" spans="1:13">
      <c r="A8" t="s">
        <v>557</v>
      </c>
      <c r="B8" s="7">
        <v>44555</v>
      </c>
      <c r="C8" t="s">
        <v>398</v>
      </c>
      <c r="D8" t="s">
        <v>558</v>
      </c>
      <c r="E8" t="s">
        <v>559</v>
      </c>
      <c r="F8" t="s">
        <v>560</v>
      </c>
      <c r="G8" t="s">
        <v>67</v>
      </c>
      <c r="H8" t="s">
        <v>68</v>
      </c>
      <c r="I8" t="s">
        <v>22</v>
      </c>
      <c r="J8">
        <v>399</v>
      </c>
      <c r="K8">
        <v>84.96</v>
      </c>
      <c r="L8" t="s">
        <v>23</v>
      </c>
      <c r="M8" t="s">
        <v>24</v>
      </c>
    </row>
    <row r="9" spans="1:13">
      <c r="A9" t="s">
        <v>555</v>
      </c>
      <c r="B9" s="7">
        <v>44534</v>
      </c>
      <c r="C9" t="s">
        <v>398</v>
      </c>
      <c r="D9" t="s">
        <v>537</v>
      </c>
      <c r="E9" t="s">
        <v>467</v>
      </c>
      <c r="F9" t="s">
        <v>146</v>
      </c>
      <c r="G9" t="s">
        <v>73</v>
      </c>
      <c r="H9" t="s">
        <v>74</v>
      </c>
      <c r="I9" t="s">
        <v>22</v>
      </c>
      <c r="J9">
        <v>399</v>
      </c>
      <c r="K9">
        <v>84.96</v>
      </c>
      <c r="L9" t="s">
        <v>23</v>
      </c>
      <c r="M9" t="s">
        <v>24</v>
      </c>
    </row>
    <row r="10" spans="1:13">
      <c r="A10" t="s">
        <v>549</v>
      </c>
      <c r="B10" s="7">
        <v>44531</v>
      </c>
      <c r="C10" t="s">
        <v>398</v>
      </c>
      <c r="D10" t="s">
        <v>550</v>
      </c>
      <c r="E10" t="s">
        <v>551</v>
      </c>
      <c r="F10" t="s">
        <v>60</v>
      </c>
      <c r="G10" t="s">
        <v>30</v>
      </c>
      <c r="H10" t="s">
        <v>31</v>
      </c>
      <c r="I10" t="s">
        <v>22</v>
      </c>
      <c r="J10">
        <v>449</v>
      </c>
      <c r="K10">
        <v>84.96</v>
      </c>
      <c r="L10" t="s">
        <v>23</v>
      </c>
      <c r="M10" t="s">
        <v>24</v>
      </c>
    </row>
    <row r="11" spans="1:13">
      <c r="A11" t="s">
        <v>547</v>
      </c>
      <c r="B11" s="7">
        <v>44540</v>
      </c>
      <c r="C11" t="s">
        <v>398</v>
      </c>
      <c r="D11" t="s">
        <v>548</v>
      </c>
      <c r="E11" t="s">
        <v>71</v>
      </c>
      <c r="F11" t="s">
        <v>72</v>
      </c>
      <c r="G11" t="s">
        <v>30</v>
      </c>
      <c r="H11" t="s">
        <v>31</v>
      </c>
      <c r="I11" t="s">
        <v>22</v>
      </c>
      <c r="J11">
        <v>449</v>
      </c>
      <c r="K11">
        <v>84.96</v>
      </c>
      <c r="L11" t="s">
        <v>23</v>
      </c>
      <c r="M11" t="s">
        <v>24</v>
      </c>
    </row>
    <row r="12" spans="1:13">
      <c r="A12" t="s">
        <v>539</v>
      </c>
      <c r="B12" s="7">
        <v>44538</v>
      </c>
      <c r="C12" t="s">
        <v>398</v>
      </c>
      <c r="D12" t="s">
        <v>540</v>
      </c>
      <c r="E12" t="s">
        <v>541</v>
      </c>
      <c r="F12" t="s">
        <v>202</v>
      </c>
      <c r="G12" t="s">
        <v>67</v>
      </c>
      <c r="H12" t="s">
        <v>68</v>
      </c>
      <c r="I12" t="s">
        <v>22</v>
      </c>
      <c r="J12">
        <v>399</v>
      </c>
      <c r="K12">
        <v>84.96</v>
      </c>
      <c r="L12" t="s">
        <v>41</v>
      </c>
      <c r="M12" t="s">
        <v>24</v>
      </c>
    </row>
    <row r="13" spans="1:13">
      <c r="A13" t="s">
        <v>536</v>
      </c>
      <c r="B13" s="7">
        <v>44532</v>
      </c>
      <c r="C13" t="s">
        <v>398</v>
      </c>
      <c r="D13" t="s">
        <v>537</v>
      </c>
      <c r="E13" t="s">
        <v>467</v>
      </c>
      <c r="F13" t="s">
        <v>146</v>
      </c>
      <c r="G13" t="s">
        <v>154</v>
      </c>
      <c r="H13" t="s">
        <v>538</v>
      </c>
      <c r="I13" t="s">
        <v>22</v>
      </c>
      <c r="J13">
        <v>475</v>
      </c>
      <c r="K13">
        <v>84.96</v>
      </c>
      <c r="L13" t="s">
        <v>23</v>
      </c>
      <c r="M13" t="s">
        <v>24</v>
      </c>
    </row>
    <row r="14" spans="1:13">
      <c r="A14" t="s">
        <v>534</v>
      </c>
      <c r="B14" s="7">
        <v>44542</v>
      </c>
      <c r="C14" t="s">
        <v>398</v>
      </c>
      <c r="D14" t="s">
        <v>535</v>
      </c>
      <c r="E14" t="s">
        <v>19</v>
      </c>
      <c r="F14" t="s">
        <v>19</v>
      </c>
      <c r="G14" t="s">
        <v>30</v>
      </c>
      <c r="H14" t="s">
        <v>31</v>
      </c>
      <c r="I14" t="s">
        <v>22</v>
      </c>
      <c r="J14" t="s">
        <v>23</v>
      </c>
      <c r="K14">
        <v>84.96</v>
      </c>
      <c r="L14" t="s">
        <v>23</v>
      </c>
      <c r="M14" t="s">
        <v>24</v>
      </c>
    </row>
    <row r="15" spans="1:13">
      <c r="A15" t="s">
        <v>532</v>
      </c>
      <c r="B15" s="7">
        <v>44539</v>
      </c>
      <c r="C15" t="s">
        <v>398</v>
      </c>
      <c r="D15" t="s">
        <v>533</v>
      </c>
      <c r="E15" t="s">
        <v>152</v>
      </c>
      <c r="F15" t="s">
        <v>153</v>
      </c>
      <c r="G15" t="s">
        <v>319</v>
      </c>
      <c r="H15" t="s">
        <v>320</v>
      </c>
      <c r="I15" t="s">
        <v>22</v>
      </c>
      <c r="J15">
        <v>449</v>
      </c>
      <c r="K15">
        <v>84.96</v>
      </c>
      <c r="L15" t="s">
        <v>23</v>
      </c>
      <c r="M15" t="s">
        <v>24</v>
      </c>
    </row>
    <row r="16" spans="1:13">
      <c r="A16" t="s">
        <v>530</v>
      </c>
      <c r="B16" s="7">
        <v>44531</v>
      </c>
      <c r="C16" t="s">
        <v>398</v>
      </c>
      <c r="D16" t="s">
        <v>531</v>
      </c>
      <c r="E16" t="s">
        <v>318</v>
      </c>
      <c r="F16" t="s">
        <v>92</v>
      </c>
      <c r="G16" t="s">
        <v>184</v>
      </c>
      <c r="H16" t="s">
        <v>185</v>
      </c>
      <c r="I16" t="s">
        <v>22</v>
      </c>
      <c r="J16">
        <v>449</v>
      </c>
      <c r="K16">
        <v>84.96</v>
      </c>
      <c r="L16" t="s">
        <v>23</v>
      </c>
      <c r="M16" t="s">
        <v>24</v>
      </c>
    </row>
    <row r="17" spans="1:13">
      <c r="A17" t="s">
        <v>526</v>
      </c>
      <c r="B17" s="7">
        <v>44545</v>
      </c>
      <c r="C17" t="s">
        <v>398</v>
      </c>
      <c r="D17" t="s">
        <v>527</v>
      </c>
      <c r="E17" t="s">
        <v>71</v>
      </c>
      <c r="F17" t="s">
        <v>72</v>
      </c>
      <c r="G17" t="s">
        <v>528</v>
      </c>
      <c r="H17" t="s">
        <v>529</v>
      </c>
      <c r="I17" t="s">
        <v>22</v>
      </c>
      <c r="J17">
        <v>549</v>
      </c>
      <c r="K17">
        <v>84.96</v>
      </c>
      <c r="L17" t="s">
        <v>23</v>
      </c>
      <c r="M17" t="s">
        <v>24</v>
      </c>
    </row>
    <row r="18" spans="1:13">
      <c r="A18" t="s">
        <v>521</v>
      </c>
      <c r="B18" s="7">
        <v>44549</v>
      </c>
      <c r="C18" t="s">
        <v>398</v>
      </c>
      <c r="D18" t="s">
        <v>522</v>
      </c>
      <c r="E18" t="s">
        <v>71</v>
      </c>
      <c r="F18" t="s">
        <v>72</v>
      </c>
      <c r="G18" t="s">
        <v>30</v>
      </c>
      <c r="H18" t="s">
        <v>31</v>
      </c>
      <c r="I18" t="s">
        <v>22</v>
      </c>
      <c r="J18" t="s">
        <v>23</v>
      </c>
      <c r="K18">
        <v>84.96</v>
      </c>
      <c r="L18" t="s">
        <v>23</v>
      </c>
      <c r="M18" t="s">
        <v>63</v>
      </c>
    </row>
    <row r="19" spans="1:13">
      <c r="A19" t="s">
        <v>518</v>
      </c>
      <c r="B19" s="7">
        <v>44539</v>
      </c>
      <c r="C19" t="s">
        <v>398</v>
      </c>
      <c r="D19" t="s">
        <v>519</v>
      </c>
      <c r="E19" t="s">
        <v>520</v>
      </c>
      <c r="F19" t="s">
        <v>92</v>
      </c>
      <c r="G19" t="s">
        <v>30</v>
      </c>
      <c r="H19" t="s">
        <v>31</v>
      </c>
      <c r="I19" t="s">
        <v>22</v>
      </c>
      <c r="J19">
        <v>449</v>
      </c>
      <c r="K19">
        <v>84.96</v>
      </c>
      <c r="L19" t="s">
        <v>41</v>
      </c>
      <c r="M19" t="s">
        <v>24</v>
      </c>
    </row>
    <row r="20" spans="1:13">
      <c r="A20" t="s">
        <v>517</v>
      </c>
      <c r="B20" s="7">
        <v>44539</v>
      </c>
      <c r="C20" t="s">
        <v>398</v>
      </c>
      <c r="D20" t="s">
        <v>448</v>
      </c>
      <c r="E20" t="s">
        <v>449</v>
      </c>
      <c r="F20" t="s">
        <v>92</v>
      </c>
      <c r="G20" t="s">
        <v>336</v>
      </c>
      <c r="H20" t="s">
        <v>337</v>
      </c>
      <c r="I20" t="s">
        <v>22</v>
      </c>
      <c r="J20">
        <v>399</v>
      </c>
      <c r="K20">
        <v>84.96</v>
      </c>
      <c r="L20" t="s">
        <v>23</v>
      </c>
      <c r="M20" t="s">
        <v>24</v>
      </c>
    </row>
    <row r="21" spans="1:13">
      <c r="A21" t="s">
        <v>514</v>
      </c>
      <c r="B21" s="7">
        <v>44550</v>
      </c>
      <c r="C21" t="s">
        <v>398</v>
      </c>
      <c r="D21" t="s">
        <v>515</v>
      </c>
      <c r="E21" t="s">
        <v>516</v>
      </c>
      <c r="F21" t="s">
        <v>53</v>
      </c>
      <c r="G21" t="s">
        <v>73</v>
      </c>
      <c r="H21" t="s">
        <v>476</v>
      </c>
      <c r="I21" t="s">
        <v>22</v>
      </c>
      <c r="J21">
        <v>475</v>
      </c>
      <c r="K21">
        <v>60.18</v>
      </c>
      <c r="L21" t="s">
        <v>23</v>
      </c>
      <c r="M21" t="s">
        <v>24</v>
      </c>
    </row>
    <row r="22" spans="1:13">
      <c r="A22" t="s">
        <v>509</v>
      </c>
      <c r="B22" s="7">
        <v>44539</v>
      </c>
      <c r="C22" t="s">
        <v>398</v>
      </c>
      <c r="D22" t="s">
        <v>510</v>
      </c>
      <c r="E22" t="s">
        <v>45</v>
      </c>
      <c r="F22" t="s">
        <v>46</v>
      </c>
      <c r="G22" t="s">
        <v>239</v>
      </c>
      <c r="H22" t="s">
        <v>500</v>
      </c>
      <c r="I22" t="s">
        <v>22</v>
      </c>
      <c r="J22">
        <v>349</v>
      </c>
      <c r="K22">
        <v>84.96</v>
      </c>
      <c r="L22" t="s">
        <v>23</v>
      </c>
      <c r="M22" t="s">
        <v>24</v>
      </c>
    </row>
    <row r="23" spans="1:13">
      <c r="A23" t="s">
        <v>501</v>
      </c>
      <c r="B23" s="7">
        <v>44559</v>
      </c>
      <c r="C23" t="s">
        <v>398</v>
      </c>
      <c r="D23" t="s">
        <v>502</v>
      </c>
      <c r="E23" t="s">
        <v>289</v>
      </c>
      <c r="F23" t="s">
        <v>503</v>
      </c>
      <c r="G23" t="s">
        <v>30</v>
      </c>
      <c r="H23" t="s">
        <v>31</v>
      </c>
      <c r="I23" t="s">
        <v>22</v>
      </c>
      <c r="J23">
        <v>449</v>
      </c>
      <c r="K23">
        <v>84.96</v>
      </c>
      <c r="L23" t="s">
        <v>41</v>
      </c>
      <c r="M23" t="s">
        <v>24</v>
      </c>
    </row>
    <row r="24" spans="1:13">
      <c r="A24" t="s">
        <v>495</v>
      </c>
      <c r="B24" s="7">
        <v>44561</v>
      </c>
      <c r="C24" t="s">
        <v>398</v>
      </c>
      <c r="D24" t="s">
        <v>496</v>
      </c>
      <c r="E24" t="s">
        <v>107</v>
      </c>
      <c r="F24" t="s">
        <v>53</v>
      </c>
      <c r="G24" t="s">
        <v>234</v>
      </c>
      <c r="H24" t="s">
        <v>235</v>
      </c>
      <c r="I24" t="s">
        <v>22</v>
      </c>
      <c r="J24">
        <v>399</v>
      </c>
      <c r="K24">
        <v>47.2</v>
      </c>
      <c r="L24" t="s">
        <v>23</v>
      </c>
      <c r="M24" t="s">
        <v>24</v>
      </c>
    </row>
    <row r="25" spans="1:13">
      <c r="A25" t="s">
        <v>494</v>
      </c>
      <c r="B25" s="7">
        <v>44534</v>
      </c>
      <c r="C25" t="s">
        <v>398</v>
      </c>
      <c r="D25" t="s">
        <v>433</v>
      </c>
      <c r="E25" t="s">
        <v>417</v>
      </c>
      <c r="F25" t="s">
        <v>53</v>
      </c>
      <c r="G25" t="s">
        <v>341</v>
      </c>
      <c r="H25" t="s">
        <v>342</v>
      </c>
      <c r="I25" t="s">
        <v>22</v>
      </c>
      <c r="J25">
        <v>549</v>
      </c>
      <c r="K25">
        <v>47.2</v>
      </c>
      <c r="L25" t="s">
        <v>23</v>
      </c>
      <c r="M25" t="s">
        <v>24</v>
      </c>
    </row>
    <row r="26" spans="1:13">
      <c r="A26" t="s">
        <v>490</v>
      </c>
      <c r="B26" s="7">
        <v>44532</v>
      </c>
      <c r="C26" t="s">
        <v>398</v>
      </c>
      <c r="D26" t="s">
        <v>491</v>
      </c>
      <c r="E26" t="s">
        <v>413</v>
      </c>
      <c r="F26" t="s">
        <v>38</v>
      </c>
      <c r="G26" t="s">
        <v>184</v>
      </c>
      <c r="H26" t="s">
        <v>185</v>
      </c>
      <c r="I26" t="s">
        <v>22</v>
      </c>
      <c r="J26">
        <v>449</v>
      </c>
      <c r="K26">
        <v>84.96</v>
      </c>
      <c r="L26" t="s">
        <v>23</v>
      </c>
      <c r="M26" t="s">
        <v>24</v>
      </c>
    </row>
    <row r="27" spans="1:13">
      <c r="A27" t="s">
        <v>488</v>
      </c>
      <c r="B27" s="7">
        <v>44540</v>
      </c>
      <c r="C27" t="s">
        <v>398</v>
      </c>
      <c r="D27" t="s">
        <v>489</v>
      </c>
      <c r="E27" t="s">
        <v>97</v>
      </c>
      <c r="F27" t="s">
        <v>46</v>
      </c>
      <c r="G27" t="s">
        <v>30</v>
      </c>
      <c r="H27" t="s">
        <v>31</v>
      </c>
      <c r="I27" t="s">
        <v>194</v>
      </c>
      <c r="J27">
        <v>1796</v>
      </c>
      <c r="K27">
        <v>84.96</v>
      </c>
      <c r="L27" t="s">
        <v>23</v>
      </c>
      <c r="M27" t="s">
        <v>24</v>
      </c>
    </row>
    <row r="28" spans="1:13">
      <c r="A28" t="s">
        <v>486</v>
      </c>
      <c r="B28" s="7">
        <v>44540</v>
      </c>
      <c r="C28" t="s">
        <v>398</v>
      </c>
      <c r="D28" t="s">
        <v>487</v>
      </c>
      <c r="E28" t="s">
        <v>45</v>
      </c>
      <c r="F28" t="s">
        <v>46</v>
      </c>
      <c r="G28" t="s">
        <v>30</v>
      </c>
      <c r="H28" t="s">
        <v>31</v>
      </c>
      <c r="I28" t="s">
        <v>22</v>
      </c>
      <c r="J28">
        <v>449</v>
      </c>
      <c r="K28">
        <v>84.96</v>
      </c>
      <c r="L28" t="s">
        <v>41</v>
      </c>
      <c r="M28" t="s">
        <v>24</v>
      </c>
    </row>
    <row r="29" spans="1:13">
      <c r="A29" t="s">
        <v>479</v>
      </c>
      <c r="B29" s="7">
        <v>44531</v>
      </c>
      <c r="C29" t="s">
        <v>398</v>
      </c>
      <c r="D29" t="s">
        <v>480</v>
      </c>
      <c r="E29" t="s">
        <v>318</v>
      </c>
      <c r="F29" t="s">
        <v>92</v>
      </c>
      <c r="G29" t="s">
        <v>125</v>
      </c>
      <c r="H29" t="s">
        <v>126</v>
      </c>
      <c r="I29" t="s">
        <v>22</v>
      </c>
      <c r="J29">
        <v>399</v>
      </c>
      <c r="K29">
        <v>84.96</v>
      </c>
      <c r="L29" t="s">
        <v>23</v>
      </c>
      <c r="M29" t="s">
        <v>24</v>
      </c>
    </row>
    <row r="30" spans="1:13">
      <c r="A30" t="s">
        <v>478</v>
      </c>
      <c r="B30" s="7">
        <v>44538</v>
      </c>
      <c r="C30" t="s">
        <v>398</v>
      </c>
      <c r="D30" t="s">
        <v>132</v>
      </c>
      <c r="E30" t="s">
        <v>133</v>
      </c>
      <c r="F30" t="s">
        <v>84</v>
      </c>
      <c r="G30" t="s">
        <v>30</v>
      </c>
      <c r="H30" t="s">
        <v>31</v>
      </c>
      <c r="I30" t="s">
        <v>22</v>
      </c>
      <c r="J30">
        <v>449</v>
      </c>
      <c r="K30">
        <v>84.96</v>
      </c>
      <c r="L30" t="s">
        <v>23</v>
      </c>
      <c r="M30" t="s">
        <v>24</v>
      </c>
    </row>
    <row r="31" spans="1:13">
      <c r="A31" t="s">
        <v>477</v>
      </c>
      <c r="B31" s="7">
        <v>44534</v>
      </c>
      <c r="C31" t="s">
        <v>398</v>
      </c>
      <c r="D31" t="s">
        <v>384</v>
      </c>
      <c r="E31" t="s">
        <v>71</v>
      </c>
      <c r="F31" t="s">
        <v>72</v>
      </c>
      <c r="G31" t="s">
        <v>341</v>
      </c>
      <c r="H31" t="s">
        <v>342</v>
      </c>
      <c r="I31" t="s">
        <v>22</v>
      </c>
      <c r="J31">
        <v>549</v>
      </c>
      <c r="K31">
        <v>84.96</v>
      </c>
      <c r="L31" t="s">
        <v>23</v>
      </c>
      <c r="M31" t="s">
        <v>24</v>
      </c>
    </row>
    <row r="32" spans="1:13">
      <c r="A32" t="s">
        <v>471</v>
      </c>
      <c r="B32" s="7">
        <v>44536</v>
      </c>
      <c r="C32" t="s">
        <v>398</v>
      </c>
      <c r="D32" t="s">
        <v>472</v>
      </c>
      <c r="E32" t="s">
        <v>71</v>
      </c>
      <c r="F32" t="s">
        <v>72</v>
      </c>
      <c r="G32" t="s">
        <v>473</v>
      </c>
      <c r="H32" t="s">
        <v>474</v>
      </c>
      <c r="I32" t="s">
        <v>22</v>
      </c>
      <c r="J32">
        <v>899</v>
      </c>
      <c r="K32">
        <v>114.46</v>
      </c>
      <c r="L32" t="s">
        <v>23</v>
      </c>
      <c r="M32" t="s">
        <v>24</v>
      </c>
    </row>
    <row r="33" spans="1:13">
      <c r="A33" t="s">
        <v>468</v>
      </c>
      <c r="B33" s="7">
        <v>44559</v>
      </c>
      <c r="C33" t="s">
        <v>398</v>
      </c>
      <c r="D33" t="s">
        <v>469</v>
      </c>
      <c r="E33" t="s">
        <v>71</v>
      </c>
      <c r="F33" t="s">
        <v>72</v>
      </c>
      <c r="G33" t="s">
        <v>455</v>
      </c>
      <c r="H33" t="s">
        <v>456</v>
      </c>
      <c r="I33" t="s">
        <v>22</v>
      </c>
      <c r="J33">
        <v>349</v>
      </c>
      <c r="K33">
        <v>84.96</v>
      </c>
      <c r="L33" t="s">
        <v>23</v>
      </c>
      <c r="M33" t="s">
        <v>24</v>
      </c>
    </row>
    <row r="34" spans="1:13">
      <c r="A34" t="s">
        <v>465</v>
      </c>
      <c r="B34" s="7">
        <v>44534</v>
      </c>
      <c r="C34" t="s">
        <v>398</v>
      </c>
      <c r="D34" t="s">
        <v>466</v>
      </c>
      <c r="E34" t="s">
        <v>467</v>
      </c>
      <c r="F34" t="s">
        <v>146</v>
      </c>
      <c r="G34" t="s">
        <v>234</v>
      </c>
      <c r="H34" t="s">
        <v>235</v>
      </c>
      <c r="I34" t="s">
        <v>22</v>
      </c>
      <c r="J34">
        <v>399</v>
      </c>
      <c r="K34">
        <v>84.96</v>
      </c>
      <c r="L34" t="s">
        <v>23</v>
      </c>
      <c r="M34" t="s">
        <v>24</v>
      </c>
    </row>
    <row r="35" spans="1:13">
      <c r="A35" t="s">
        <v>461</v>
      </c>
      <c r="B35" s="7">
        <v>44532</v>
      </c>
      <c r="C35" t="s">
        <v>398</v>
      </c>
      <c r="D35" t="s">
        <v>462</v>
      </c>
      <c r="E35" t="s">
        <v>463</v>
      </c>
      <c r="F35" t="s">
        <v>464</v>
      </c>
      <c r="G35" t="s">
        <v>184</v>
      </c>
      <c r="H35" t="s">
        <v>185</v>
      </c>
      <c r="I35" t="s">
        <v>22</v>
      </c>
      <c r="J35">
        <v>449</v>
      </c>
      <c r="K35">
        <v>84.96</v>
      </c>
      <c r="L35" t="s">
        <v>23</v>
      </c>
      <c r="M35" t="s">
        <v>24</v>
      </c>
    </row>
    <row r="36" spans="1:13">
      <c r="A36" t="s">
        <v>457</v>
      </c>
      <c r="B36" s="7">
        <v>44543</v>
      </c>
      <c r="C36" t="s">
        <v>398</v>
      </c>
      <c r="D36" t="s">
        <v>458</v>
      </c>
      <c r="E36" t="s">
        <v>117</v>
      </c>
      <c r="F36" t="s">
        <v>38</v>
      </c>
      <c r="G36" t="s">
        <v>459</v>
      </c>
      <c r="H36" t="s">
        <v>460</v>
      </c>
      <c r="I36" t="s">
        <v>22</v>
      </c>
      <c r="J36">
        <v>449</v>
      </c>
      <c r="K36">
        <v>84.96</v>
      </c>
      <c r="L36" t="s">
        <v>23</v>
      </c>
      <c r="M36" t="s">
        <v>24</v>
      </c>
    </row>
    <row r="37" spans="1:13">
      <c r="A37" t="s">
        <v>453</v>
      </c>
      <c r="B37" s="7">
        <v>44536</v>
      </c>
      <c r="C37" t="s">
        <v>398</v>
      </c>
      <c r="D37" t="s">
        <v>248</v>
      </c>
      <c r="E37" t="s">
        <v>454</v>
      </c>
      <c r="F37" t="s">
        <v>46</v>
      </c>
      <c r="G37" t="s">
        <v>455</v>
      </c>
      <c r="H37" t="s">
        <v>456</v>
      </c>
      <c r="I37" t="s">
        <v>22</v>
      </c>
      <c r="J37">
        <v>349</v>
      </c>
      <c r="K37">
        <v>84.96</v>
      </c>
      <c r="L37" t="s">
        <v>23</v>
      </c>
      <c r="M37" t="s">
        <v>24</v>
      </c>
    </row>
    <row r="38" spans="1:13">
      <c r="A38" t="s">
        <v>452</v>
      </c>
      <c r="B38" s="7">
        <v>44551</v>
      </c>
      <c r="C38" t="s">
        <v>398</v>
      </c>
      <c r="D38" t="s">
        <v>442</v>
      </c>
      <c r="E38" t="s">
        <v>318</v>
      </c>
      <c r="F38" t="s">
        <v>92</v>
      </c>
      <c r="G38" t="s">
        <v>258</v>
      </c>
      <c r="H38" t="s">
        <v>259</v>
      </c>
      <c r="I38" t="s">
        <v>377</v>
      </c>
      <c r="J38">
        <v>3897</v>
      </c>
      <c r="K38">
        <v>241.9</v>
      </c>
      <c r="L38" t="s">
        <v>23</v>
      </c>
      <c r="M38" t="s">
        <v>24</v>
      </c>
    </row>
    <row r="39" spans="1:13">
      <c r="A39" t="s">
        <v>447</v>
      </c>
      <c r="B39" s="7">
        <v>44534</v>
      </c>
      <c r="C39" t="s">
        <v>398</v>
      </c>
      <c r="D39" t="s">
        <v>448</v>
      </c>
      <c r="E39" t="s">
        <v>449</v>
      </c>
      <c r="F39" t="s">
        <v>92</v>
      </c>
      <c r="G39" t="s">
        <v>450</v>
      </c>
      <c r="H39" t="s">
        <v>451</v>
      </c>
      <c r="I39" t="s">
        <v>22</v>
      </c>
      <c r="J39">
        <v>1499</v>
      </c>
      <c r="K39">
        <v>114.46</v>
      </c>
      <c r="L39" t="s">
        <v>23</v>
      </c>
      <c r="M39" t="s">
        <v>24</v>
      </c>
    </row>
    <row r="40" spans="1:13">
      <c r="A40" t="s">
        <v>444</v>
      </c>
      <c r="B40" s="7">
        <v>44531</v>
      </c>
      <c r="C40" t="s">
        <v>398</v>
      </c>
      <c r="D40" t="s">
        <v>445</v>
      </c>
      <c r="E40" t="s">
        <v>446</v>
      </c>
      <c r="F40" t="s">
        <v>159</v>
      </c>
      <c r="G40" t="s">
        <v>184</v>
      </c>
      <c r="H40" t="s">
        <v>185</v>
      </c>
      <c r="I40" t="s">
        <v>22</v>
      </c>
      <c r="J40">
        <v>449</v>
      </c>
      <c r="K40">
        <v>84.96</v>
      </c>
      <c r="L40" t="s">
        <v>23</v>
      </c>
      <c r="M40" t="s">
        <v>24</v>
      </c>
    </row>
    <row r="41" spans="1:13">
      <c r="A41" t="s">
        <v>443</v>
      </c>
      <c r="B41" s="7">
        <v>44539</v>
      </c>
      <c r="C41" t="s">
        <v>398</v>
      </c>
      <c r="D41" t="s">
        <v>208</v>
      </c>
      <c r="E41" t="s">
        <v>209</v>
      </c>
      <c r="F41" t="s">
        <v>46</v>
      </c>
      <c r="G41" t="s">
        <v>30</v>
      </c>
      <c r="H41" t="s">
        <v>31</v>
      </c>
      <c r="I41" t="s">
        <v>22</v>
      </c>
      <c r="J41">
        <v>449</v>
      </c>
      <c r="K41">
        <v>84.96</v>
      </c>
      <c r="L41" t="s">
        <v>23</v>
      </c>
      <c r="M41" t="s">
        <v>24</v>
      </c>
    </row>
    <row r="42" spans="1:13">
      <c r="A42" t="s">
        <v>441</v>
      </c>
      <c r="B42" s="7">
        <v>44551</v>
      </c>
      <c r="C42" t="s">
        <v>398</v>
      </c>
      <c r="D42" t="s">
        <v>442</v>
      </c>
      <c r="E42" t="s">
        <v>417</v>
      </c>
      <c r="F42" t="s">
        <v>53</v>
      </c>
      <c r="G42" t="s">
        <v>258</v>
      </c>
      <c r="H42" t="s">
        <v>259</v>
      </c>
      <c r="I42" t="s">
        <v>377</v>
      </c>
      <c r="J42">
        <v>3897</v>
      </c>
      <c r="K42">
        <v>133.34</v>
      </c>
      <c r="L42" t="s">
        <v>23</v>
      </c>
      <c r="M42" t="s">
        <v>24</v>
      </c>
    </row>
    <row r="43" spans="1:13">
      <c r="A43" t="s">
        <v>438</v>
      </c>
      <c r="B43" s="7">
        <v>44536</v>
      </c>
      <c r="C43" t="s">
        <v>398</v>
      </c>
      <c r="D43" t="s">
        <v>439</v>
      </c>
      <c r="E43" t="s">
        <v>440</v>
      </c>
      <c r="F43" t="s">
        <v>46</v>
      </c>
      <c r="G43" t="s">
        <v>258</v>
      </c>
      <c r="H43" t="s">
        <v>259</v>
      </c>
      <c r="I43" t="s">
        <v>22</v>
      </c>
      <c r="J43">
        <v>1299</v>
      </c>
      <c r="K43">
        <v>114.46</v>
      </c>
      <c r="L43" t="s">
        <v>41</v>
      </c>
      <c r="M43" t="s">
        <v>24</v>
      </c>
    </row>
    <row r="44" spans="1:13">
      <c r="A44" t="s">
        <v>430</v>
      </c>
      <c r="B44" s="7">
        <v>44538</v>
      </c>
      <c r="C44" t="s">
        <v>398</v>
      </c>
      <c r="D44" t="s">
        <v>431</v>
      </c>
      <c r="E44" t="s">
        <v>133</v>
      </c>
      <c r="F44" t="s">
        <v>84</v>
      </c>
      <c r="G44" t="s">
        <v>192</v>
      </c>
      <c r="H44" t="s">
        <v>193</v>
      </c>
      <c r="I44" t="s">
        <v>22</v>
      </c>
      <c r="J44">
        <v>399</v>
      </c>
      <c r="K44">
        <v>84.96</v>
      </c>
      <c r="L44" t="s">
        <v>23</v>
      </c>
      <c r="M44" t="s">
        <v>24</v>
      </c>
    </row>
    <row r="45" spans="1:13">
      <c r="A45" t="s">
        <v>424</v>
      </c>
      <c r="B45" s="7">
        <v>44547</v>
      </c>
      <c r="C45" t="s">
        <v>398</v>
      </c>
      <c r="D45" t="s">
        <v>425</v>
      </c>
      <c r="E45" t="s">
        <v>426</v>
      </c>
      <c r="F45" t="s">
        <v>427</v>
      </c>
      <c r="G45" t="s">
        <v>428</v>
      </c>
      <c r="H45" t="s">
        <v>429</v>
      </c>
      <c r="I45" t="s">
        <v>22</v>
      </c>
      <c r="J45">
        <v>549</v>
      </c>
      <c r="K45">
        <v>60.18</v>
      </c>
      <c r="L45" t="s">
        <v>41</v>
      </c>
      <c r="M45" t="s">
        <v>24</v>
      </c>
    </row>
    <row r="46" spans="1:13">
      <c r="A46" t="s">
        <v>422</v>
      </c>
      <c r="B46" s="7">
        <v>44539</v>
      </c>
      <c r="C46" t="s">
        <v>398</v>
      </c>
      <c r="D46" t="s">
        <v>423</v>
      </c>
      <c r="E46" t="s">
        <v>403</v>
      </c>
      <c r="F46" t="s">
        <v>60</v>
      </c>
      <c r="G46" t="s">
        <v>258</v>
      </c>
      <c r="H46" t="s">
        <v>259</v>
      </c>
      <c r="I46" t="s">
        <v>22</v>
      </c>
      <c r="J46">
        <v>1299</v>
      </c>
      <c r="K46">
        <v>146.32</v>
      </c>
      <c r="L46" t="s">
        <v>23</v>
      </c>
      <c r="M46" t="s">
        <v>24</v>
      </c>
    </row>
    <row r="47" spans="1:13">
      <c r="A47" t="s">
        <v>415</v>
      </c>
      <c r="B47" s="7">
        <v>44556</v>
      </c>
      <c r="C47" t="s">
        <v>398</v>
      </c>
      <c r="D47" t="s">
        <v>416</v>
      </c>
      <c r="E47" t="s">
        <v>417</v>
      </c>
      <c r="F47" t="s">
        <v>53</v>
      </c>
      <c r="G47" t="s">
        <v>418</v>
      </c>
      <c r="H47" t="s">
        <v>419</v>
      </c>
      <c r="I47" t="s">
        <v>22</v>
      </c>
      <c r="J47">
        <v>1299</v>
      </c>
      <c r="K47">
        <v>80.239999999999995</v>
      </c>
      <c r="L47" t="s">
        <v>23</v>
      </c>
      <c r="M47" t="s">
        <v>24</v>
      </c>
    </row>
    <row r="48" spans="1:13">
      <c r="A48" t="s">
        <v>406</v>
      </c>
      <c r="B48" s="7">
        <v>44553</v>
      </c>
      <c r="C48" t="s">
        <v>398</v>
      </c>
      <c r="D48" t="s">
        <v>407</v>
      </c>
      <c r="E48" t="s">
        <v>71</v>
      </c>
      <c r="F48" t="s">
        <v>72</v>
      </c>
      <c r="G48" t="s">
        <v>113</v>
      </c>
      <c r="H48" t="s">
        <v>114</v>
      </c>
      <c r="I48" t="s">
        <v>22</v>
      </c>
      <c r="J48" t="s">
        <v>23</v>
      </c>
      <c r="K48">
        <v>84.96</v>
      </c>
      <c r="L48" t="s">
        <v>23</v>
      </c>
      <c r="M48" t="s">
        <v>24</v>
      </c>
    </row>
    <row r="49" spans="1:13">
      <c r="A49" t="s">
        <v>397</v>
      </c>
      <c r="B49" s="7">
        <v>44533</v>
      </c>
      <c r="C49" t="s">
        <v>398</v>
      </c>
      <c r="D49" t="s">
        <v>399</v>
      </c>
      <c r="E49" t="s">
        <v>400</v>
      </c>
      <c r="F49" t="s">
        <v>53</v>
      </c>
      <c r="G49" t="s">
        <v>61</v>
      </c>
      <c r="H49" t="s">
        <v>62</v>
      </c>
      <c r="I49" t="s">
        <v>22</v>
      </c>
      <c r="J49">
        <v>649</v>
      </c>
      <c r="K49">
        <v>60.18</v>
      </c>
      <c r="L49" t="s">
        <v>23</v>
      </c>
      <c r="M49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D653-43FF-4BB0-B08F-74ED4253A229}">
  <dimension ref="A2:BI66"/>
  <sheetViews>
    <sheetView showGridLines="0" showRowColHeaders="0" tabSelected="1" workbookViewId="0">
      <selection activeCell="M2" sqref="M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8.85546875" style="13" customWidth="1"/>
    <col min="2" max="2" width="3.42578125" customWidth="1"/>
    <col min="3" max="3" width="9.140625" customWidth="1"/>
    <col min="4" max="4" width="51.28515625" bestFit="1" customWidth="1"/>
    <col min="12" max="12" width="11.28515625" bestFit="1" customWidth="1"/>
    <col min="13" max="13" width="22.5703125" bestFit="1" customWidth="1"/>
    <col min="59" max="59" width="17" customWidth="1"/>
    <col min="60" max="60" width="24.5703125" style="4" customWidth="1"/>
    <col min="61" max="61" width="25.42578125" bestFit="1" customWidth="1"/>
  </cols>
  <sheetData>
    <row r="2" spans="1:61" ht="24">
      <c r="B2" s="16"/>
      <c r="C2" s="18" t="s">
        <v>580</v>
      </c>
      <c r="D2" s="15"/>
      <c r="E2" s="15"/>
      <c r="F2" s="15"/>
      <c r="G2" s="15"/>
      <c r="H2" s="15"/>
      <c r="I2" s="15"/>
      <c r="J2" s="15"/>
      <c r="K2" s="15"/>
      <c r="L2" s="15"/>
    </row>
    <row r="4" spans="1:61" s="14" customFormat="1">
      <c r="A4" s="13"/>
      <c r="BH4" s="17"/>
    </row>
    <row r="5" spans="1:61" s="14" customFormat="1" ht="31.5">
      <c r="A5" s="13"/>
      <c r="C5" s="21"/>
      <c r="D5" s="22"/>
      <c r="E5" s="23"/>
      <c r="BG5" s="26"/>
      <c r="BH5" s="27"/>
    </row>
    <row r="6" spans="1:61" s="14" customFormat="1" ht="69">
      <c r="A6" s="13"/>
      <c r="C6" s="20"/>
      <c r="D6" s="24">
        <f>BH19</f>
        <v>89177</v>
      </c>
      <c r="E6" s="19"/>
      <c r="BG6" s="5" t="s">
        <v>5</v>
      </c>
      <c r="BH6" s="4" t="s">
        <v>577</v>
      </c>
      <c r="BI6"/>
    </row>
    <row r="7" spans="1:61" s="14" customFormat="1">
      <c r="A7" s="13"/>
      <c r="C7" s="19"/>
      <c r="D7" s="19"/>
      <c r="E7" s="19"/>
      <c r="BG7" t="s">
        <v>389</v>
      </c>
      <c r="BH7" s="4">
        <v>4592</v>
      </c>
      <c r="BI7"/>
    </row>
    <row r="8" spans="1:61" s="14" customFormat="1">
      <c r="A8" s="13"/>
      <c r="BG8" t="s">
        <v>383</v>
      </c>
      <c r="BH8" s="4">
        <v>4967</v>
      </c>
      <c r="BI8"/>
    </row>
    <row r="9" spans="1:61" s="14" customFormat="1">
      <c r="A9" s="13"/>
      <c r="BG9" t="s">
        <v>50</v>
      </c>
      <c r="BH9" s="4">
        <v>1698</v>
      </c>
      <c r="BI9"/>
    </row>
    <row r="10" spans="1:61" s="14" customFormat="1">
      <c r="A10" s="13"/>
      <c r="BG10" t="s">
        <v>17</v>
      </c>
      <c r="BH10" s="4">
        <v>2395</v>
      </c>
      <c r="BI10"/>
    </row>
    <row r="11" spans="1:61" s="14" customFormat="1">
      <c r="A11" s="13"/>
      <c r="BG11" t="s">
        <v>57</v>
      </c>
      <c r="BH11" s="4">
        <v>7640</v>
      </c>
      <c r="BI11"/>
    </row>
    <row r="12" spans="1:61" s="14" customFormat="1">
      <c r="A12" s="13"/>
      <c r="BG12" t="s">
        <v>43</v>
      </c>
      <c r="BH12" s="4">
        <v>9084</v>
      </c>
      <c r="BI12"/>
    </row>
    <row r="13" spans="1:61" s="14" customFormat="1">
      <c r="A13" s="13"/>
      <c r="BG13" t="s">
        <v>26</v>
      </c>
      <c r="BH13" s="4">
        <v>10979</v>
      </c>
      <c r="BI13"/>
    </row>
    <row r="14" spans="1:61" s="14" customFormat="1">
      <c r="A14" s="13"/>
      <c r="BG14" t="s">
        <v>33</v>
      </c>
      <c r="BH14" s="4">
        <v>13672</v>
      </c>
      <c r="BI14"/>
    </row>
    <row r="15" spans="1:61" s="14" customFormat="1">
      <c r="A15" s="13"/>
      <c r="BG15" t="s">
        <v>398</v>
      </c>
      <c r="BH15" s="4">
        <v>34150</v>
      </c>
      <c r="BI15"/>
    </row>
    <row r="16" spans="1:61" s="14" customFormat="1">
      <c r="A16" s="13"/>
      <c r="BG16"/>
      <c r="BH16"/>
      <c r="BI16" s="4"/>
    </row>
    <row r="17" spans="1:61" s="14" customFormat="1">
      <c r="A17" s="13"/>
      <c r="BG17"/>
      <c r="BH17" s="4"/>
      <c r="BI17"/>
    </row>
    <row r="18" spans="1:61" s="14" customFormat="1">
      <c r="A18" s="13"/>
      <c r="BG18"/>
      <c r="BH18" s="4"/>
      <c r="BI18"/>
    </row>
    <row r="19" spans="1:61" s="14" customFormat="1">
      <c r="A19" s="13"/>
      <c r="BG19"/>
      <c r="BH19" s="4">
        <f>SUM(BH7:BH16)</f>
        <v>89177</v>
      </c>
      <c r="BI19"/>
    </row>
    <row r="20" spans="1:61" s="14" customFormat="1">
      <c r="A20" s="13"/>
      <c r="BG20"/>
      <c r="BH20" s="4"/>
      <c r="BI20"/>
    </row>
    <row r="21" spans="1:61" s="14" customFormat="1">
      <c r="A21" s="13"/>
      <c r="BG21" s="5" t="s">
        <v>15</v>
      </c>
      <c r="BH21" s="8" t="s">
        <v>581</v>
      </c>
      <c r="BI21"/>
    </row>
    <row r="22" spans="1:61" s="14" customFormat="1">
      <c r="A22" s="13"/>
      <c r="BG22" t="s">
        <v>24</v>
      </c>
      <c r="BH22" s="8">
        <v>160</v>
      </c>
      <c r="BI22"/>
    </row>
    <row r="23" spans="1:61" s="14" customFormat="1">
      <c r="A23" s="13"/>
      <c r="BG23" t="s">
        <v>63</v>
      </c>
      <c r="BH23" s="8">
        <v>11</v>
      </c>
      <c r="BI23"/>
    </row>
    <row r="24" spans="1:61" s="14" customFormat="1">
      <c r="A24" s="13"/>
      <c r="BG24" t="s">
        <v>578</v>
      </c>
      <c r="BH24" s="8">
        <v>171</v>
      </c>
      <c r="BI24">
        <f>BH24</f>
        <v>171</v>
      </c>
    </row>
    <row r="25" spans="1:61" s="14" customFormat="1">
      <c r="A25" s="13"/>
      <c r="BG25"/>
      <c r="BH25"/>
      <c r="BI25"/>
    </row>
    <row r="26" spans="1:61" s="14" customFormat="1">
      <c r="A26" s="13"/>
      <c r="BG26"/>
      <c r="BH26"/>
      <c r="BI26"/>
    </row>
    <row r="27" spans="1:61" s="14" customFormat="1">
      <c r="A27" s="13"/>
      <c r="BG27"/>
      <c r="BH27"/>
      <c r="BI27"/>
    </row>
    <row r="28" spans="1:61" s="14" customFormat="1">
      <c r="A28" s="13"/>
      <c r="BG28"/>
      <c r="BH28"/>
      <c r="BI28"/>
    </row>
    <row r="29" spans="1:61" s="14" customFormat="1">
      <c r="A29" s="13"/>
      <c r="BG29"/>
      <c r="BH29"/>
      <c r="BI29"/>
    </row>
    <row r="30" spans="1:61" s="14" customFormat="1">
      <c r="A30" s="13"/>
      <c r="BG30"/>
      <c r="BH30"/>
      <c r="BI30"/>
    </row>
    <row r="31" spans="1:61" s="14" customFormat="1">
      <c r="A31" s="13"/>
      <c r="BG31"/>
      <c r="BH31"/>
      <c r="BI31"/>
    </row>
    <row r="32" spans="1:61" s="14" customFormat="1">
      <c r="A32" s="13"/>
      <c r="BG32"/>
      <c r="BH32"/>
      <c r="BI32"/>
    </row>
    <row r="33" spans="1:61" s="14" customFormat="1">
      <c r="A33" s="13"/>
      <c r="BG33"/>
      <c r="BH33"/>
      <c r="BI33"/>
    </row>
    <row r="34" spans="1:61" s="14" customFormat="1">
      <c r="A34" s="13"/>
      <c r="BG34"/>
      <c r="BH34"/>
      <c r="BI34"/>
    </row>
    <row r="35" spans="1:61" s="14" customFormat="1">
      <c r="A35" s="13"/>
      <c r="BG35"/>
      <c r="BH35"/>
      <c r="BI35"/>
    </row>
    <row r="36" spans="1:61" s="14" customFormat="1">
      <c r="A36" s="13"/>
      <c r="BG36"/>
      <c r="BH36"/>
      <c r="BI36"/>
    </row>
    <row r="37" spans="1:61" s="14" customFormat="1">
      <c r="A37" s="13"/>
      <c r="BG37"/>
      <c r="BH37"/>
      <c r="BI37"/>
    </row>
    <row r="38" spans="1:61" s="14" customFormat="1">
      <c r="A38" s="13"/>
      <c r="BG38"/>
      <c r="BH38"/>
      <c r="BI38"/>
    </row>
    <row r="39" spans="1:61" s="14" customFormat="1">
      <c r="A39" s="13"/>
      <c r="BG39"/>
      <c r="BH39"/>
      <c r="BI39"/>
    </row>
    <row r="40" spans="1:61" s="14" customFormat="1">
      <c r="A40" s="13"/>
      <c r="BH40" s="17"/>
    </row>
    <row r="41" spans="1:61" s="14" customFormat="1">
      <c r="A41" s="13"/>
      <c r="BH41" s="17"/>
    </row>
    <row r="42" spans="1:61" s="14" customFormat="1">
      <c r="A42" s="13"/>
      <c r="BH42" s="17"/>
    </row>
    <row r="43" spans="1:61" s="14" customFormat="1">
      <c r="A43" s="13"/>
      <c r="BH43" s="17"/>
    </row>
    <row r="44" spans="1:61" s="14" customFormat="1">
      <c r="A44" s="13"/>
      <c r="BH44" s="17"/>
    </row>
    <row r="45" spans="1:61" s="14" customFormat="1">
      <c r="A45" s="13"/>
      <c r="BH45" s="17"/>
    </row>
    <row r="46" spans="1:61" s="14" customFormat="1">
      <c r="A46" s="13"/>
      <c r="BH46" s="17"/>
    </row>
    <row r="47" spans="1:61" s="14" customFormat="1">
      <c r="A47" s="13"/>
      <c r="BH47" s="17"/>
    </row>
    <row r="48" spans="1:61" s="14" customFormat="1">
      <c r="A48" s="13"/>
      <c r="BH48" s="17"/>
    </row>
    <row r="49" spans="1:60" s="14" customFormat="1">
      <c r="A49" s="13"/>
      <c r="BH49" s="17"/>
    </row>
    <row r="50" spans="1:60" s="14" customFormat="1">
      <c r="A50" s="13"/>
      <c r="BH50" s="17"/>
    </row>
    <row r="51" spans="1:60" s="14" customFormat="1">
      <c r="A51" s="13"/>
      <c r="BH51" s="17"/>
    </row>
    <row r="52" spans="1:60" s="14" customFormat="1">
      <c r="A52" s="13"/>
      <c r="BH52" s="17"/>
    </row>
    <row r="53" spans="1:60" s="14" customFormat="1">
      <c r="A53" s="13"/>
      <c r="BH53" s="17"/>
    </row>
    <row r="54" spans="1:60" s="14" customFormat="1">
      <c r="A54" s="13"/>
      <c r="BH54" s="17"/>
    </row>
    <row r="55" spans="1:60" s="14" customFormat="1">
      <c r="A55" s="13"/>
      <c r="BH55" s="17"/>
    </row>
    <row r="56" spans="1:60" s="14" customFormat="1">
      <c r="A56" s="13"/>
      <c r="BH56" s="17"/>
    </row>
    <row r="57" spans="1:60" s="14" customFormat="1">
      <c r="A57" s="13"/>
      <c r="BH57" s="17"/>
    </row>
    <row r="58" spans="1:60" s="14" customFormat="1">
      <c r="A58" s="13"/>
      <c r="BH58" s="17"/>
    </row>
    <row r="59" spans="1:60" s="14" customFormat="1">
      <c r="A59" s="13"/>
      <c r="BH59" s="17"/>
    </row>
    <row r="60" spans="1:60" s="14" customFormat="1">
      <c r="A60" s="13"/>
      <c r="BH60" s="17"/>
    </row>
    <row r="61" spans="1:60" s="14" customFormat="1">
      <c r="A61" s="13"/>
      <c r="BH61" s="17"/>
    </row>
    <row r="62" spans="1:60" s="14" customFormat="1">
      <c r="A62" s="13"/>
      <c r="BH62" s="17"/>
    </row>
    <row r="63" spans="1:60" s="14" customFormat="1">
      <c r="A63" s="13"/>
      <c r="BH63" s="17"/>
    </row>
    <row r="64" spans="1:60" s="14" customFormat="1">
      <c r="A64" s="13"/>
      <c r="BH64" s="17"/>
    </row>
    <row r="65" spans="1:60" s="14" customFormat="1">
      <c r="A65" s="13"/>
      <c r="BH65" s="17"/>
    </row>
    <row r="66" spans="1:60" s="14" customFormat="1">
      <c r="A66" s="13"/>
      <c r="BH66" s="17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2026-01-08T00:18:18Z</dcterms:modified>
  <cp:category/>
  <cp:contentStatus/>
</cp:coreProperties>
</file>